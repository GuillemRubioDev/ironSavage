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 esto" sheetId="1" state="visible" r:id="rId1"/>
    <sheet name="Resumen" sheetId="2" state="visible" r:id="rId2"/>
    <sheet name="Datos a rellenar" sheetId="3" state="visible" r:id="rId3"/>
    <sheet name="Textos de emails" sheetId="4" state="visible" r:id="rId4"/>
    <sheet name="Hosting" sheetId="5" state="visible" r:id="rId5"/>
  </sheets>
  <definedNames>
    <definedName name="_xlnm._FilterDatabase" localSheetId="2" hidden="1">'Datos a rellenar'!$A$1:$L$119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8102E"/>
      <sz val="16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sz val="9"/>
    </font>
    <font>
      <name val="Arial"/>
      <sz val="9"/>
    </font>
    <font>
      <name val="Arial"/>
      <b val="1"/>
      <sz val="9"/>
    </font>
    <font>
      <name val="Arial"/>
      <b val="1"/>
      <color rgb="00C8102E"/>
      <sz val="14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AF3E6"/>
      </patternFill>
    </fill>
    <fill>
      <patternFill patternType="solid">
        <fgColor rgb="00F8D7DA"/>
      </patternFill>
    </fill>
    <fill>
      <patternFill patternType="solid">
        <fgColor rgb="00FFE5CC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1F2328"/>
      </patternFill>
    </fill>
    <fill>
      <patternFill patternType="solid">
        <fgColor rgb="00E7E9EC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9" fillId="0" borderId="0" pivotButton="0" quotePrefix="0" xfId="0"/>
    <xf numFmtId="0" fontId="6" fillId="0" borderId="0" pivotButton="0" quotePrefix="0" xfId="0"/>
    <xf numFmtId="0" fontId="5" fillId="8" borderId="1" applyAlignment="1" pivotButton="0" quotePrefix="0" xfId="0">
      <alignment vertical="center" wrapText="1"/>
    </xf>
    <xf numFmtId="0" fontId="2" fillId="4" borderId="1" pivotButton="0" quotePrefix="0" xfId="0"/>
    <xf numFmtId="0" fontId="3" fillId="0" borderId="1" pivotButton="0" quotePrefix="0" xfId="0"/>
    <xf numFmtId="9" fontId="3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6" fillId="3" borderId="1" applyAlignment="1" pivotButton="0" quotePrefix="0" xfId="0">
      <alignment vertical="top" wrapText="1"/>
    </xf>
    <xf numFmtId="0" fontId="0" fillId="9" borderId="1" pivotButton="0" quotePrefix="0" xfId="0"/>
    <xf numFmtId="0" fontId="4" fillId="9" borderId="1" pivotButton="0" quotePrefix="0" xfId="0"/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328"/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1" t="inlineStr">
        <is>
          <t>Iron Savage — datos pendientes para pasar a producción</t>
        </is>
      </c>
    </row>
    <row r="4" ht="45" customHeight="1">
      <c r="B4" s="2" t="inlineStr">
        <is>
          <t>Qué es</t>
        </is>
      </c>
      <c r="C4" s="3" t="inlineStr">
        <is>
          <t>Todo lo que la tienda tiene todavía como dato de plantilla o provisional y hay que sustituir por datos reales antes de abrir al público: datos de la empresa, facturación, dominios, emails, pagos, envíos, textos, imágenes y decisiones de negocio.</t>
        </is>
      </c>
    </row>
    <row r="5" ht="30" customHeight="1">
      <c r="B5" s="2" t="inlineStr">
        <is>
          <t>Qué hay que rellenar</t>
        </is>
      </c>
      <c r="C5" s="3" t="inlineStr">
        <is>
          <t>En la hoja «Datos a rellenar», la columna amarilla «VALOR REAL (a rellenar)» y la columna «Estado». Si algo no aplica, escribir «No aplica» y marcar el estado.</t>
        </is>
      </c>
    </row>
    <row r="6" ht="45" customHeight="1">
      <c r="B6" s="2" t="inlineStr">
        <is>
          <t>Prioridad</t>
        </is>
      </c>
      <c r="C6" s="3" t="inlineStr">
        <is>
          <t>Crítico = sin esto no se puede abrir la tienda (o hay riesgo legal/fiscal). Importante = debería estar el día del lanzamiento. Recomendado = mejora, puede ir después. Informativo = solo para conocimiento.</t>
        </is>
      </c>
    </row>
    <row r="7" ht="30" customHeight="1">
      <c r="B7" s="2" t="inlineStr">
        <is>
          <t>¿Quién lo aporta?</t>
        </is>
      </c>
      <c r="C7" s="3" t="inlineStr">
        <is>
          <t>Cliente, Gestoría / asesor fiscal, Abogado, Banco o Técnico (el desarrollador). «Cliente + Técnico» = se decide juntos.</t>
        </is>
      </c>
    </row>
    <row r="8" ht="30" customHeight="1">
      <c r="B8" s="2" t="inlineStr">
        <is>
          <t>Formato o ejemplo</t>
        </is>
      </c>
      <c r="C8" s="3" t="inlineStr">
        <is>
          <t>Cómo debe ser el dato. Los ejemplos son inventados: no copiarlos tal cual.</t>
        </is>
      </c>
    </row>
    <row r="9" ht="30" customHeight="1">
      <c r="B9" s="2" t="inlineStr">
        <is>
          <t>Valor actual (plantilla)</t>
        </is>
      </c>
      <c r="C9" s="3" t="inlineStr">
        <is>
          <t>Lo que hay ahora en el proyecto. Casi siempre es un valor de pruebas.</t>
        </is>
      </c>
    </row>
    <row r="10" ht="45" customHeight="1">
      <c r="B10" s="2" t="inlineStr">
        <is>
          <t>Dónde va</t>
        </is>
      </c>
      <c r="C10" s="3" t="inlineStr">
        <is>
          <t>Para el desarrollador: archivo o variable exacta donde se pondrá el dato. «.env.prod» = archivo de configuración del servidor de producción. «Dashboard» = se configura desde el panel de administración, sin programar.</t>
        </is>
      </c>
    </row>
    <row r="11" ht="30" customHeight="1">
      <c r="B11" s="2" t="inlineStr">
        <is>
          <t>Datos confidenciales</t>
        </is>
      </c>
      <c r="C11" s="3" t="inlineStr">
        <is>
          <t>Contraseñas y claves (SMTP, Redsys, administrador) NO se escriben en este Excel: entregarlas por un canal seguro (gestor de contraseñas o en persona).</t>
        </is>
      </c>
    </row>
    <row r="12" ht="45" customHeight="1">
      <c r="B12" s="2" t="inlineStr">
        <is>
          <t>Otras hojas</t>
        </is>
      </c>
      <c r="C12" s="3" t="inlineStr">
        <is>
          <t>«Textos de emails»: asunto y frases de cada email automático, para revisar o reescribir. «Resumen»: recuento automático por prioridad y estado. «Hosting»: requisitos del servidor y proveedores orientativos.</t>
        </is>
      </c>
    </row>
    <row r="13" ht="30" customHeight="1">
      <c r="B13" s="2" t="inlineStr">
        <is>
          <t>Sustituye a</t>
        </is>
      </c>
      <c r="C13" s="3" t="inlineStr">
        <is>
          <t>Este archivo sustituye a «Checklist-Puesta-en-Produccion.xlsx», que quedó desactualizado.</t>
        </is>
      </c>
    </row>
    <row r="15">
      <c r="B15" s="4" t="inlineStr">
        <is>
          <t>Leyenda</t>
        </is>
      </c>
    </row>
    <row r="16">
      <c r="B16" s="5" t="n"/>
      <c r="C16" s="6" t="inlineStr">
        <is>
          <t>Celda para rellenar por el cliente</t>
        </is>
      </c>
    </row>
    <row r="17">
      <c r="B17" s="7" t="n"/>
      <c r="C17" s="6" t="inlineStr">
        <is>
          <t>Fila de ejemplo (formato esperado)</t>
        </is>
      </c>
    </row>
    <row r="18">
      <c r="B18" s="8" t="n"/>
      <c r="C18" s="6" t="inlineStr">
        <is>
          <t>Prioridad: Crítico</t>
        </is>
      </c>
    </row>
    <row r="19">
      <c r="B19" s="9" t="n"/>
      <c r="C19" s="6" t="inlineStr">
        <is>
          <t>Prioridad: Importante</t>
        </is>
      </c>
    </row>
    <row r="20">
      <c r="B20" s="10" t="n"/>
      <c r="C20" s="6" t="inlineStr">
        <is>
          <t>Prioridad: Recomendado</t>
        </is>
      </c>
    </row>
    <row r="21">
      <c r="B21" s="11" t="n"/>
      <c r="C21" s="6" t="inlineStr">
        <is>
          <t>Prioridad: Informativo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102E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Resumen de datos pendientes</t>
        </is>
      </c>
    </row>
    <row r="2">
      <c r="A2" s="13" t="inlineStr">
        <is>
          <t>Se actualiza solo al cambiar la columna «Estado» de la hoja «Datos a rellenar» (excluye la fila de ejemplo).</t>
        </is>
      </c>
    </row>
    <row r="4">
      <c r="A4" s="14" t="inlineStr">
        <is>
          <t>Prioridad</t>
        </is>
      </c>
      <c r="B4" s="14" t="inlineStr">
        <is>
          <t>Total</t>
        </is>
      </c>
      <c r="C4" s="14" t="inlineStr">
        <is>
          <t>Pendiente</t>
        </is>
      </c>
      <c r="D4" s="14" t="inlineStr">
        <is>
          <t>En curso</t>
        </is>
      </c>
      <c r="E4" s="14" t="inlineStr">
        <is>
          <t>Hecho</t>
        </is>
      </c>
      <c r="F4" s="14" t="inlineStr">
        <is>
          <t>No aplica</t>
        </is>
      </c>
      <c r="G4" s="14" t="inlineStr">
        <is>
          <t>% resuelto</t>
        </is>
      </c>
    </row>
    <row r="5">
      <c r="A5" s="15" t="inlineStr">
        <is>
          <t>Crítico</t>
        </is>
      </c>
      <c r="B5" s="16">
        <f>COUNTIFS('Datos a rellenar'!$F$3:$F$119,$A5)</f>
        <v/>
      </c>
      <c r="C5" s="16">
        <f>COUNTIFS('Datos a rellenar'!$F$3:$F$119,$A5,'Datos a rellenar'!$J$3:$J$119,"Pendiente")</f>
        <v/>
      </c>
      <c r="D5" s="16">
        <f>COUNTIFS('Datos a rellenar'!$F$3:$F$119,$A5,'Datos a rellenar'!$J$3:$J$119,"En curso")</f>
        <v/>
      </c>
      <c r="E5" s="16">
        <f>COUNTIFS('Datos a rellenar'!$F$3:$F$119,$A5,'Datos a rellenar'!$J$3:$J$119,"Hecho")</f>
        <v/>
      </c>
      <c r="F5" s="16">
        <f>COUNTIFS('Datos a rellenar'!$F$3:$F$119,$A5,'Datos a rellenar'!$J$3:$J$119,"No aplica")</f>
        <v/>
      </c>
      <c r="G5" s="17">
        <f>IF(B5=0,0,(E5+F5)/B5)</f>
        <v/>
      </c>
    </row>
    <row r="6">
      <c r="A6" s="18" t="inlineStr">
        <is>
          <t>Importante</t>
        </is>
      </c>
      <c r="B6" s="16">
        <f>COUNTIFS('Datos a rellenar'!$F$3:$F$119,$A6)</f>
        <v/>
      </c>
      <c r="C6" s="16">
        <f>COUNTIFS('Datos a rellenar'!$F$3:$F$119,$A6,'Datos a rellenar'!$J$3:$J$119,"Pendiente")</f>
        <v/>
      </c>
      <c r="D6" s="16">
        <f>COUNTIFS('Datos a rellenar'!$F$3:$F$119,$A6,'Datos a rellenar'!$J$3:$J$119,"En curso")</f>
        <v/>
      </c>
      <c r="E6" s="16">
        <f>COUNTIFS('Datos a rellenar'!$F$3:$F$119,$A6,'Datos a rellenar'!$J$3:$J$119,"Hecho")</f>
        <v/>
      </c>
      <c r="F6" s="16">
        <f>COUNTIFS('Datos a rellenar'!$F$3:$F$119,$A6,'Datos a rellenar'!$J$3:$J$119,"No aplica")</f>
        <v/>
      </c>
      <c r="G6" s="17">
        <f>IF(B6=0,0,(E6+F6)/B6)</f>
        <v/>
      </c>
    </row>
    <row r="7">
      <c r="A7" s="19" t="inlineStr">
        <is>
          <t>Recomendado</t>
        </is>
      </c>
      <c r="B7" s="16">
        <f>COUNTIFS('Datos a rellenar'!$F$3:$F$119,$A7)</f>
        <v/>
      </c>
      <c r="C7" s="16">
        <f>COUNTIFS('Datos a rellenar'!$F$3:$F$119,$A7,'Datos a rellenar'!$J$3:$J$119,"Pendiente")</f>
        <v/>
      </c>
      <c r="D7" s="16">
        <f>COUNTIFS('Datos a rellenar'!$F$3:$F$119,$A7,'Datos a rellenar'!$J$3:$J$119,"En curso")</f>
        <v/>
      </c>
      <c r="E7" s="16">
        <f>COUNTIFS('Datos a rellenar'!$F$3:$F$119,$A7,'Datos a rellenar'!$J$3:$J$119,"Hecho")</f>
        <v/>
      </c>
      <c r="F7" s="16">
        <f>COUNTIFS('Datos a rellenar'!$F$3:$F$119,$A7,'Datos a rellenar'!$J$3:$J$119,"No aplica")</f>
        <v/>
      </c>
      <c r="G7" s="17">
        <f>IF(B7=0,0,(E7+F7)/B7)</f>
        <v/>
      </c>
    </row>
    <row r="8">
      <c r="A8" s="20" t="inlineStr">
        <is>
          <t>Informativo</t>
        </is>
      </c>
      <c r="B8" s="16">
        <f>COUNTIFS('Datos a rellenar'!$F$3:$F$119,$A8)</f>
        <v/>
      </c>
      <c r="C8" s="16">
        <f>COUNTIFS('Datos a rellenar'!$F$3:$F$119,$A8,'Datos a rellenar'!$J$3:$J$119,"Pendiente")</f>
        <v/>
      </c>
      <c r="D8" s="16">
        <f>COUNTIFS('Datos a rellenar'!$F$3:$F$119,$A8,'Datos a rellenar'!$J$3:$J$119,"En curso")</f>
        <v/>
      </c>
      <c r="E8" s="16">
        <f>COUNTIFS('Datos a rellenar'!$F$3:$F$119,$A8,'Datos a rellenar'!$J$3:$J$119,"Hecho")</f>
        <v/>
      </c>
      <c r="F8" s="16">
        <f>COUNTIFS('Datos a rellenar'!$F$3:$F$119,$A8,'Datos a rellenar'!$J$3:$J$119,"No aplica")</f>
        <v/>
      </c>
      <c r="G8" s="17">
        <f>IF(B8=0,0,(E8+F8)/B8)</f>
        <v/>
      </c>
    </row>
    <row r="9">
      <c r="A9" s="21" t="inlineStr">
        <is>
          <t>TOTAL</t>
        </is>
      </c>
      <c r="B9" s="21">
        <f>SUM(B5:B8)</f>
        <v/>
      </c>
      <c r="C9" s="21">
        <f>SUM(C5:C8)</f>
        <v/>
      </c>
      <c r="D9" s="21">
        <f>SUM(D5:D8)</f>
        <v/>
      </c>
      <c r="E9" s="21">
        <f>SUM(E5:E8)</f>
        <v/>
      </c>
      <c r="F9" s="21">
        <f>SUM(F5:F8)</f>
        <v/>
      </c>
      <c r="G9" s="22">
        <f>IF(B9=0,0,(E9+F9)/B9)</f>
        <v/>
      </c>
    </row>
    <row r="11">
      <c r="A11" s="4" t="inlineStr">
        <is>
          <t>Pendientes por área</t>
        </is>
      </c>
    </row>
    <row r="12">
      <c r="A12" s="14" t="inlineStr">
        <is>
          <t>Área</t>
        </is>
      </c>
      <c r="B12" s="14" t="inlineStr">
        <is>
          <t>Total</t>
        </is>
      </c>
      <c r="C12" s="14" t="inlineStr">
        <is>
          <t>Pendiente</t>
        </is>
      </c>
      <c r="D12" s="14" t="inlineStr">
        <is>
          <t>Críticos pendientes</t>
        </is>
      </c>
    </row>
    <row r="13">
      <c r="A13" s="16" t="inlineStr">
        <is>
          <t>Empresa y datos legales</t>
        </is>
      </c>
      <c r="B13" s="16">
        <f>COUNTIFS('Datos a rellenar'!$B$3:$B$119,$A13)</f>
        <v/>
      </c>
      <c r="C13" s="16">
        <f>COUNTIFS('Datos a rellenar'!$B$3:$B$119,$A13,'Datos a rellenar'!$J$3:$J$119,"Pendiente")</f>
        <v/>
      </c>
      <c r="D13" s="16">
        <f>COUNTIFS('Datos a rellenar'!$B$3:$B$119,$A13,'Datos a rellenar'!$J$3:$J$119,"Pendiente",'Datos a rellenar'!$F$3:$F$119,"Crítico")</f>
        <v/>
      </c>
    </row>
    <row r="14">
      <c r="A14" s="16" t="inlineStr">
        <is>
          <t>Textos legales: decisiones y revisión</t>
        </is>
      </c>
      <c r="B14" s="16">
        <f>COUNTIFS('Datos a rellenar'!$B$3:$B$119,$A14)</f>
        <v/>
      </c>
      <c r="C14" s="16">
        <f>COUNTIFS('Datos a rellenar'!$B$3:$B$119,$A14,'Datos a rellenar'!$J$3:$J$119,"Pendiente")</f>
        <v/>
      </c>
      <c r="D14" s="16">
        <f>COUNTIFS('Datos a rellenar'!$B$3:$B$119,$A14,'Datos a rellenar'!$J$3:$J$119,"Pendiente",'Datos a rellenar'!$F$3:$F$119,"Crítico")</f>
        <v/>
      </c>
    </row>
    <row r="15">
      <c r="A15" s="16" t="inlineStr">
        <is>
          <t>Facturación y fiscalidad</t>
        </is>
      </c>
      <c r="B15" s="16">
        <f>COUNTIFS('Datos a rellenar'!$B$3:$B$119,$A15)</f>
        <v/>
      </c>
      <c r="C15" s="16">
        <f>COUNTIFS('Datos a rellenar'!$B$3:$B$119,$A15,'Datos a rellenar'!$J$3:$J$119,"Pendiente")</f>
        <v/>
      </c>
      <c r="D15" s="16">
        <f>COUNTIFS('Datos a rellenar'!$B$3:$B$119,$A15,'Datos a rellenar'!$J$3:$J$119,"Pendiente",'Datos a rellenar'!$F$3:$F$119,"Crítico")</f>
        <v/>
      </c>
    </row>
    <row r="16">
      <c r="A16" s="16" t="inlineStr">
        <is>
          <t>Dominios, servidor y despliegue</t>
        </is>
      </c>
      <c r="B16" s="16">
        <f>COUNTIFS('Datos a rellenar'!$B$3:$B$119,$A16)</f>
        <v/>
      </c>
      <c r="C16" s="16">
        <f>COUNTIFS('Datos a rellenar'!$B$3:$B$119,$A16,'Datos a rellenar'!$J$3:$J$119,"Pendiente")</f>
        <v/>
      </c>
      <c r="D16" s="16">
        <f>COUNTIFS('Datos a rellenar'!$B$3:$B$119,$A16,'Datos a rellenar'!$J$3:$J$119,"Pendiente",'Datos a rellenar'!$F$3:$F$119,"Crítico")</f>
        <v/>
      </c>
    </row>
    <row r="17">
      <c r="A17" s="16" t="inlineStr">
        <is>
          <t>Correo electrónico (emails automáticos)</t>
        </is>
      </c>
      <c r="B17" s="16">
        <f>COUNTIFS('Datos a rellenar'!$B$3:$B$119,$A17)</f>
        <v/>
      </c>
      <c r="C17" s="16">
        <f>COUNTIFS('Datos a rellenar'!$B$3:$B$119,$A17,'Datos a rellenar'!$J$3:$J$119,"Pendiente")</f>
        <v/>
      </c>
      <c r="D17" s="16">
        <f>COUNTIFS('Datos a rellenar'!$B$3:$B$119,$A17,'Datos a rellenar'!$J$3:$J$119,"Pendiente",'Datos a rellenar'!$F$3:$F$119,"Crítico")</f>
        <v/>
      </c>
    </row>
    <row r="18">
      <c r="A18" s="16" t="inlineStr">
        <is>
          <t>Pagos con tarjeta (Redsys)</t>
        </is>
      </c>
      <c r="B18" s="16">
        <f>COUNTIFS('Datos a rellenar'!$B$3:$B$119,$A18)</f>
        <v/>
      </c>
      <c r="C18" s="16">
        <f>COUNTIFS('Datos a rellenar'!$B$3:$B$119,$A18,'Datos a rellenar'!$J$3:$J$119,"Pendiente")</f>
        <v/>
      </c>
      <c r="D18" s="16">
        <f>COUNTIFS('Datos a rellenar'!$B$3:$B$119,$A18,'Datos a rellenar'!$J$3:$J$119,"Pendiente",'Datos a rellenar'!$F$3:$F$119,"Crítico")</f>
        <v/>
      </c>
    </row>
    <row r="19">
      <c r="A19" s="16" t="inlineStr">
        <is>
          <t>Accesos y claves internas</t>
        </is>
      </c>
      <c r="B19" s="16">
        <f>COUNTIFS('Datos a rellenar'!$B$3:$B$119,$A19)</f>
        <v/>
      </c>
      <c r="C19" s="16">
        <f>COUNTIFS('Datos a rellenar'!$B$3:$B$119,$A19,'Datos a rellenar'!$J$3:$J$119,"Pendiente")</f>
        <v/>
      </c>
      <c r="D19" s="16">
        <f>COUNTIFS('Datos a rellenar'!$B$3:$B$119,$A19,'Datos a rellenar'!$J$3:$J$119,"Pendiente",'Datos a rellenar'!$F$3:$F$119,"Crítico")</f>
        <v/>
      </c>
    </row>
    <row r="20">
      <c r="A20" s="16" t="inlineStr">
        <is>
          <t>Envíos y logística</t>
        </is>
      </c>
      <c r="B20" s="16">
        <f>COUNTIFS('Datos a rellenar'!$B$3:$B$119,$A20)</f>
        <v/>
      </c>
      <c r="C20" s="16">
        <f>COUNTIFS('Datos a rellenar'!$B$3:$B$119,$A20,'Datos a rellenar'!$J$3:$J$119,"Pendiente")</f>
        <v/>
      </c>
      <c r="D20" s="16">
        <f>COUNTIFS('Datos a rellenar'!$B$3:$B$119,$A20,'Datos a rellenar'!$J$3:$J$119,"Pendiente",'Datos a rellenar'!$F$3:$F$119,"Crítico")</f>
        <v/>
      </c>
    </row>
    <row r="21">
      <c r="A21" s="16" t="inlineStr">
        <is>
          <t>Textos de la tienda (marketing)</t>
        </is>
      </c>
      <c r="B21" s="16">
        <f>COUNTIFS('Datos a rellenar'!$B$3:$B$119,$A21)</f>
        <v/>
      </c>
      <c r="C21" s="16">
        <f>COUNTIFS('Datos a rellenar'!$B$3:$B$119,$A21,'Datos a rellenar'!$J$3:$J$119,"Pendiente")</f>
        <v/>
      </c>
      <c r="D21" s="16">
        <f>COUNTIFS('Datos a rellenar'!$B$3:$B$119,$A21,'Datos a rellenar'!$J$3:$J$119,"Pendiente",'Datos a rellenar'!$F$3:$F$119,"Crítico")</f>
        <v/>
      </c>
    </row>
    <row r="22">
      <c r="A22" s="16" t="inlineStr">
        <is>
          <t>Marca e imágenes</t>
        </is>
      </c>
      <c r="B22" s="16">
        <f>COUNTIFS('Datos a rellenar'!$B$3:$B$119,$A22)</f>
        <v/>
      </c>
      <c r="C22" s="16">
        <f>COUNTIFS('Datos a rellenar'!$B$3:$B$119,$A22,'Datos a rellenar'!$J$3:$J$119,"Pendiente")</f>
        <v/>
      </c>
      <c r="D22" s="16">
        <f>COUNTIFS('Datos a rellenar'!$B$3:$B$119,$A22,'Datos a rellenar'!$J$3:$J$119,"Pendiente",'Datos a rellenar'!$F$3:$F$119,"Crítico")</f>
        <v/>
      </c>
    </row>
    <row r="23">
      <c r="A23" s="16" t="inlineStr">
        <is>
          <t>Analítica (Google Analytics 4)</t>
        </is>
      </c>
      <c r="B23" s="16">
        <f>COUNTIFS('Datos a rellenar'!$B$3:$B$119,$A23)</f>
        <v/>
      </c>
      <c r="C23" s="16">
        <f>COUNTIFS('Datos a rellenar'!$B$3:$B$119,$A23,'Datos a rellenar'!$J$3:$J$119,"Pendiente")</f>
        <v/>
      </c>
      <c r="D23" s="16">
        <f>COUNTIFS('Datos a rellenar'!$B$3:$B$119,$A23,'Datos a rellenar'!$J$3:$J$119,"Pendiente",'Datos a rellenar'!$F$3:$F$119,"Crítico")</f>
        <v/>
      </c>
    </row>
    <row r="24">
      <c r="A24" s="16" t="inlineStr">
        <is>
          <t>Catálogo y contenido</t>
        </is>
      </c>
      <c r="B24" s="16">
        <f>COUNTIFS('Datos a rellenar'!$B$3:$B$119,$A24)</f>
        <v/>
      </c>
      <c r="C24" s="16">
        <f>COUNTIFS('Datos a rellenar'!$B$3:$B$119,$A24,'Datos a rellenar'!$J$3:$J$119,"Pendiente")</f>
        <v/>
      </c>
      <c r="D24" s="16">
        <f>COUNTIFS('Datos a rellenar'!$B$3:$B$119,$A24,'Datos a rellenar'!$J$3:$J$119,"Pendiente",'Datos a rellenar'!$F$3:$F$119,"Crítico")</f>
        <v/>
      </c>
    </row>
    <row r="25">
      <c r="A25" s="16" t="inlineStr">
        <is>
          <t>Programa de puntos</t>
        </is>
      </c>
      <c r="B25" s="16">
        <f>COUNTIFS('Datos a rellenar'!$B$3:$B$119,$A25)</f>
        <v/>
      </c>
      <c r="C25" s="16">
        <f>COUNTIFS('Datos a rellenar'!$B$3:$B$119,$A25,'Datos a rellenar'!$J$3:$J$119,"Pendiente")</f>
        <v/>
      </c>
      <c r="D25" s="16">
        <f>COUNTIFS('Datos a rellenar'!$B$3:$B$119,$A25,'Datos a rellenar'!$J$3:$J$119,"Pendiente",'Datos a rellenar'!$F$3:$F$119,"Crítico")</f>
        <v/>
      </c>
    </row>
    <row r="26">
      <c r="A26" s="16" t="inlineStr">
        <is>
          <t>Copias de seguridad</t>
        </is>
      </c>
      <c r="B26" s="16">
        <f>COUNTIFS('Datos a rellenar'!$B$3:$B$119,$A26)</f>
        <v/>
      </c>
      <c r="C26" s="16">
        <f>COUNTIFS('Datos a rellenar'!$B$3:$B$119,$A26,'Datos a rellenar'!$J$3:$J$119,"Pendiente")</f>
        <v/>
      </c>
      <c r="D26" s="16">
        <f>COUNTIFS('Datos a rellenar'!$B$3:$B$119,$A26,'Datos a rellenar'!$J$3:$J$119,"Pendiente",'Datos a rellenar'!$F$3:$F$119,"Crítico")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L119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52" customWidth="1" min="4" max="4"/>
    <col width="36" customWidth="1" min="5" max="5"/>
    <col width="12" customWidth="1" min="6" max="6"/>
    <col width="32" customWidth="1" min="7" max="7"/>
    <col width="18" customWidth="1" min="8" max="8"/>
    <col width="36" customWidth="1" min="9" max="9"/>
    <col width="12" customWidth="1" min="10" max="10"/>
    <col width="44" customWidth="1" min="11" max="11"/>
    <col width="34" customWidth="1" min="12" max="12"/>
  </cols>
  <sheetData>
    <row r="1" ht="32" customHeight="1">
      <c r="A1" s="14" t="inlineStr">
        <is>
          <t>Nº</t>
        </is>
      </c>
      <c r="B1" s="14" t="inlineStr">
        <is>
          <t>Área</t>
        </is>
      </c>
      <c r="C1" s="14" t="inlineStr">
        <is>
          <t>Qué se necesita</t>
        </is>
      </c>
      <c r="D1" s="14" t="inlineStr">
        <is>
          <t>Para qué sirve / explicación</t>
        </is>
      </c>
      <c r="E1" s="14" t="inlineStr">
        <is>
          <t>Formato o ejemplo esperado</t>
        </is>
      </c>
      <c r="F1" s="14" t="inlineStr">
        <is>
          <t>Prioridad</t>
        </is>
      </c>
      <c r="G1" s="14" t="inlineStr">
        <is>
          <t>Valor actual (plantilla)</t>
        </is>
      </c>
      <c r="H1" s="14" t="inlineStr">
        <is>
          <t>¿Quién lo aporta?</t>
        </is>
      </c>
      <c r="I1" s="14" t="inlineStr">
        <is>
          <t>VALOR REAL (a rellenar)</t>
        </is>
      </c>
      <c r="J1" s="14" t="inlineStr">
        <is>
          <t>Estado</t>
        </is>
      </c>
      <c r="K1" s="14" t="inlineStr">
        <is>
          <t>Dónde va (para el técnico)</t>
        </is>
      </c>
      <c r="L1" s="14" t="inlineStr">
        <is>
          <t>Notas</t>
        </is>
      </c>
    </row>
    <row r="2">
      <c r="A2" s="23" t="inlineStr">
        <is>
          <t>Ej.</t>
        </is>
      </c>
      <c r="B2" s="23" t="inlineStr">
        <is>
          <t>(ejemplo)</t>
        </is>
      </c>
      <c r="C2" s="23" t="inlineStr">
        <is>
          <t>Email de atención al cliente</t>
        </is>
      </c>
      <c r="D2" s="23" t="inlineStr">
        <is>
          <t>Dirección donde escriben los clientes.</t>
        </is>
      </c>
      <c r="E2" s="23" t="inlineStr">
        <is>
          <t>hola@ironsavage.es</t>
        </is>
      </c>
      <c r="F2" s="23" t="inlineStr">
        <is>
          <t>Crítico</t>
        </is>
      </c>
      <c r="G2" s="23" t="inlineStr">
        <is>
          <t>[EMAIL DE ATENCIÓN AL CLIENTE]</t>
        </is>
      </c>
      <c r="H2" s="23" t="inlineStr">
        <is>
          <t>Cliente</t>
        </is>
      </c>
      <c r="I2" s="23" t="inlineStr">
        <is>
          <t>hola@ironsavage.es</t>
        </is>
      </c>
      <c r="J2" s="23" t="inlineStr">
        <is>
          <t>Hecho</t>
        </is>
      </c>
      <c r="K2" s="23" t="inlineStr">
        <is>
          <t>apps/storefront/src/config/company.ts → COMPANY.contactEmail</t>
        </is>
      </c>
      <c r="L2" s="23" t="inlineStr">
        <is>
          <t>Fila de ejemplo: no forma parte de la lista.</t>
        </is>
      </c>
    </row>
    <row r="3" ht="20" customHeight="1">
      <c r="A3" s="24" t="n"/>
      <c r="B3" s="25" t="inlineStr">
        <is>
          <t>A. Empresa y datos legales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36" customHeight="1">
      <c r="A4" s="26" t="n">
        <v>1</v>
      </c>
      <c r="B4" s="26" t="inlineStr">
        <is>
          <t>Empresa y datos legales</t>
        </is>
      </c>
      <c r="C4" s="27" t="inlineStr">
        <is>
          <t>Razón social o nombre del titular</t>
        </is>
      </c>
      <c r="D4" s="26" t="inlineStr">
        <is>
          <t>Nombre legal exacto de quien vende. Aparece en el aviso legal, la privacidad, los términos, envíos y devoluciones, accesibilidad, IA y en el aviso de privacidad del registro.</t>
        </is>
      </c>
      <c r="E4" s="26" t="inlineStr">
        <is>
          <t>Iron Savage Nutrition, S.L.  (o nombre y apellidos si es autónomo)</t>
        </is>
      </c>
      <c r="F4" s="28" t="inlineStr">
        <is>
          <t>Crítico</t>
        </is>
      </c>
      <c r="G4" s="26" t="inlineStr">
        <is>
          <t>[RAZÓN SOCIAL O NOMBRE DEL TITULAR] resaltado en amarillo en la web</t>
        </is>
      </c>
      <c r="H4" s="26" t="inlineStr">
        <is>
          <t>Cliente</t>
        </is>
      </c>
      <c r="I4" s="29" t="n"/>
      <c r="J4" s="29" t="inlineStr">
        <is>
          <t>Pendiente</t>
        </is>
      </c>
      <c r="K4" s="26" t="inlineStr">
        <is>
          <t>apps/storefront/src/config/company.ts → COMPANY.legalName</t>
        </is>
      </c>
      <c r="L4" s="26" t="inlineStr">
        <is>
          <t>Se rellena una vez y cambia en todas las páginas.</t>
        </is>
      </c>
    </row>
    <row r="5" ht="30" customHeight="1">
      <c r="A5" s="26" t="n">
        <v>2</v>
      </c>
      <c r="B5" s="26" t="inlineStr">
        <is>
          <t>Empresa y datos legales</t>
        </is>
      </c>
      <c r="C5" s="27" t="inlineStr">
        <is>
          <t>NIF / CIF</t>
        </is>
      </c>
      <c r="D5" s="26" t="inlineStr">
        <is>
          <t>Identificación fiscal del titular (obligatoria en el aviso legal, LSSI-CE art. 10).</t>
        </is>
      </c>
      <c r="E5" s="26" t="inlineStr">
        <is>
          <t>B12345678</t>
        </is>
      </c>
      <c r="F5" s="28" t="inlineStr">
        <is>
          <t>Crítico</t>
        </is>
      </c>
      <c r="G5" s="26" t="inlineStr">
        <is>
          <t>[NIF/CIF]</t>
        </is>
      </c>
      <c r="H5" s="26" t="inlineStr">
        <is>
          <t>Cliente</t>
        </is>
      </c>
      <c r="I5" s="29" t="n"/>
      <c r="J5" s="29" t="inlineStr">
        <is>
          <t>Pendiente</t>
        </is>
      </c>
      <c r="K5" s="26" t="inlineStr">
        <is>
          <t>apps/storefront/src/config/company.ts → COMPANY.taxId</t>
        </is>
      </c>
      <c r="L5" s="26" t="inlineStr"/>
    </row>
    <row r="6" ht="30" customHeight="1">
      <c r="A6" s="26" t="n">
        <v>3</v>
      </c>
      <c r="B6" s="26" t="inlineStr">
        <is>
          <t>Empresa y datos legales</t>
        </is>
      </c>
      <c r="C6" s="27" t="inlineStr">
        <is>
          <t>Domicilio social</t>
        </is>
      </c>
      <c r="D6" s="26" t="inlineStr">
        <is>
          <t>Dirección registrada del titular.</t>
        </is>
      </c>
      <c r="E6" s="26" t="inlineStr">
        <is>
          <t>Calle Mayor 1, 2º B, 28013 Madrid</t>
        </is>
      </c>
      <c r="F6" s="28" t="inlineStr">
        <is>
          <t>Crítico</t>
        </is>
      </c>
      <c r="G6" s="26" t="inlineStr">
        <is>
          <t>[DOMICILIO SOCIAL COMPLETO]</t>
        </is>
      </c>
      <c r="H6" s="26" t="inlineStr">
        <is>
          <t>Cliente</t>
        </is>
      </c>
      <c r="I6" s="29" t="n"/>
      <c r="J6" s="29" t="inlineStr">
        <is>
          <t>Pendiente</t>
        </is>
      </c>
      <c r="K6" s="26" t="inlineStr">
        <is>
          <t>apps/storefront/src/config/company.ts → COMPANY.address</t>
        </is>
      </c>
      <c r="L6" s="26" t="inlineStr">
        <is>
          <t>También se usa como dirección postal para reclamaciones y derechos RGPD.</t>
        </is>
      </c>
    </row>
    <row r="7" ht="30" customHeight="1">
      <c r="A7" s="26" t="n">
        <v>4</v>
      </c>
      <c r="B7" s="26" t="inlineStr">
        <is>
          <t>Empresa y datos legales</t>
        </is>
      </c>
      <c r="C7" s="27" t="inlineStr">
        <is>
          <t>Datos del Registro Mercantil</t>
        </is>
      </c>
      <c r="D7" s="26" t="inlineStr">
        <is>
          <t>Obligatorio si es una sociedad (S.L., S.A.). Si es autónomo, no aplica.</t>
        </is>
      </c>
      <c r="E7" s="26" t="inlineStr">
        <is>
          <t>Inscrita en el Registro Mercantil de Madrid, Tomo 1234, Folio 56, Hoja M-78901</t>
        </is>
      </c>
      <c r="F7" s="28" t="inlineStr">
        <is>
          <t>Crítico</t>
        </is>
      </c>
      <c r="G7" s="26" t="inlineStr">
        <is>
          <t>[DATOS REGISTRALES…]</t>
        </is>
      </c>
      <c r="H7" s="26" t="inlineStr">
        <is>
          <t>Cliente</t>
        </is>
      </c>
      <c r="I7" s="29" t="n"/>
      <c r="J7" s="29" t="inlineStr">
        <is>
          <t>Pendiente</t>
        </is>
      </c>
      <c r="K7" s="26" t="inlineStr">
        <is>
          <t>apps/storefront/src/config/company.ts → COMPANY.registry</t>
        </is>
      </c>
      <c r="L7" s="26" t="inlineStr">
        <is>
          <t>Poner «No aplica» si es autónomo.</t>
        </is>
      </c>
    </row>
    <row r="8" ht="30" customHeight="1">
      <c r="A8" s="26" t="n">
        <v>5</v>
      </c>
      <c r="B8" s="26" t="inlineStr">
        <is>
          <t>Empresa y datos legales</t>
        </is>
      </c>
      <c r="C8" s="27" t="inlineStr">
        <is>
          <t>Email de atención al cliente</t>
        </is>
      </c>
      <c r="D8" s="26" t="inlineStr">
        <is>
          <t>Dirección donde escriben los clientes (dudas, devoluciones, reclamaciones, accesibilidad).</t>
        </is>
      </c>
      <c r="E8" s="26" t="inlineStr">
        <is>
          <t>hola@ironsavage.es</t>
        </is>
      </c>
      <c r="F8" s="28" t="inlineStr">
        <is>
          <t>Crítico</t>
        </is>
      </c>
      <c r="G8" s="26" t="inlineStr">
        <is>
          <t>[EMAIL DE ATENCIÓN AL CLIENTE]</t>
        </is>
      </c>
      <c r="H8" s="26" t="inlineStr">
        <is>
          <t>Cliente</t>
        </is>
      </c>
      <c r="I8" s="29" t="n"/>
      <c r="J8" s="29" t="inlineStr">
        <is>
          <t>Pendiente</t>
        </is>
      </c>
      <c r="K8" s="26" t="inlineStr">
        <is>
          <t>apps/storefront/src/config/company.ts → COMPANY.contactEmail</t>
        </is>
      </c>
      <c r="L8" s="26" t="inlineStr">
        <is>
          <t>Debe ser un buzón que alguien lea.</t>
        </is>
      </c>
    </row>
    <row r="9" ht="30" customHeight="1">
      <c r="A9" s="26" t="n">
        <v>6</v>
      </c>
      <c r="B9" s="26" t="inlineStr">
        <is>
          <t>Empresa y datos legales</t>
        </is>
      </c>
      <c r="C9" s="27" t="inlineStr">
        <is>
          <t>Email de protección de datos</t>
        </is>
      </c>
      <c r="D9" s="26" t="inlineStr">
        <is>
          <t>Para ejercer derechos RGPD (acceso, supresión…). Puede ser el mismo que el de atención al cliente.</t>
        </is>
      </c>
      <c r="E9" s="26" t="inlineStr">
        <is>
          <t>privacidad@ironsavage.es</t>
        </is>
      </c>
      <c r="F9" s="28" t="inlineStr">
        <is>
          <t>Crítico</t>
        </is>
      </c>
      <c r="G9" s="26" t="inlineStr">
        <is>
          <t>[EMAIL DE PROTECCIÓN DE DATOS]</t>
        </is>
      </c>
      <c r="H9" s="26" t="inlineStr">
        <is>
          <t>Cliente</t>
        </is>
      </c>
      <c r="I9" s="29" t="n"/>
      <c r="J9" s="29" t="inlineStr">
        <is>
          <t>Pendiente</t>
        </is>
      </c>
      <c r="K9" s="26" t="inlineStr">
        <is>
          <t>apps/storefront/src/config/company.ts → COMPANY.privacyEmail</t>
        </is>
      </c>
      <c r="L9" s="26" t="inlineStr"/>
    </row>
    <row r="10" ht="30" customHeight="1">
      <c r="A10" s="26" t="n">
        <v>7</v>
      </c>
      <c r="B10" s="26" t="inlineStr">
        <is>
          <t>Empresa y datos legales</t>
        </is>
      </c>
      <c r="C10" s="27" t="inlineStr">
        <is>
          <t>Teléfono de contacto</t>
        </is>
      </c>
      <c r="D10" s="26" t="inlineStr">
        <is>
          <t>La ley exige un medio de contacto directo y efectivo; el teléfono es lo habitual.</t>
        </is>
      </c>
      <c r="E10" s="26" t="inlineStr">
        <is>
          <t>+34 600 000 000</t>
        </is>
      </c>
      <c r="F10" s="30" t="inlineStr">
        <is>
          <t>Importante</t>
        </is>
      </c>
      <c r="G10" s="26" t="inlineStr">
        <is>
          <t>[TELÉFONO DE CONTACTO]</t>
        </is>
      </c>
      <c r="H10" s="26" t="inlineStr">
        <is>
          <t>Cliente</t>
        </is>
      </c>
      <c r="I10" s="29" t="n"/>
      <c r="J10" s="29" t="inlineStr">
        <is>
          <t>Pendiente</t>
        </is>
      </c>
      <c r="K10" s="26" t="inlineStr">
        <is>
          <t>apps/storefront/src/config/company.ts → COMPANY.phone</t>
        </is>
      </c>
      <c r="L10" s="26" t="inlineStr"/>
    </row>
    <row r="11" ht="36" customHeight="1">
      <c r="A11" s="26" t="n">
        <v>8</v>
      </c>
      <c r="B11" s="26" t="inlineStr">
        <is>
          <t>Empresa y datos legales</t>
        </is>
      </c>
      <c r="C11" s="27" t="inlineStr">
        <is>
          <t>Registro sanitario (RGSEAA) o comunicación</t>
        </is>
      </c>
      <c r="D11" s="26" t="inlineStr">
        <is>
          <t>Las empresas que comercializan complementos alimenticios deben estar inscritas o haber comunicado su actividad a Sanidad.</t>
        </is>
      </c>
      <c r="E11" s="26" t="inlineStr">
        <is>
          <t>Nº RGSEAA 26.012345/M   (o «No aplica»)</t>
        </is>
      </c>
      <c r="F11" s="30" t="inlineStr">
        <is>
          <t>Importante</t>
        </is>
      </c>
      <c r="G11" s="26" t="inlineStr">
        <is>
          <t>[Nº DE REGISTRO SANITARIO…]</t>
        </is>
      </c>
      <c r="H11" s="26" t="inlineStr">
        <is>
          <t>Cliente</t>
        </is>
      </c>
      <c r="I11" s="29" t="n"/>
      <c r="J11" s="29" t="inlineStr">
        <is>
          <t>Pendiente</t>
        </is>
      </c>
      <c r="K11" s="26" t="inlineStr">
        <is>
          <t>apps/storefront/src/config/company.ts → COMPANY.healthRegistry</t>
        </is>
      </c>
      <c r="L11" s="26" t="inlineStr">
        <is>
          <t>Confirmar con un consultor sanitario si aplica.</t>
        </is>
      </c>
    </row>
    <row r="12" ht="30" customHeight="1">
      <c r="A12" s="26" t="n">
        <v>9</v>
      </c>
      <c r="B12" s="26" t="inlineStr">
        <is>
          <t>Empresa y datos legales</t>
        </is>
      </c>
      <c r="C12" s="27" t="inlineStr">
        <is>
          <t>Delegado de protección de datos (DPD)</t>
        </is>
      </c>
      <c r="D12" s="26" t="inlineStr">
        <is>
          <t>Solo obligatorio en algunos casos. Si no se ha designado, indicarlo.</t>
        </is>
      </c>
      <c r="E12" s="26" t="inlineStr">
        <is>
          <t>No designado   (o nombre + email)</t>
        </is>
      </c>
      <c r="F12" s="31" t="inlineStr">
        <is>
          <t>Recomendado</t>
        </is>
      </c>
      <c r="G12" s="26" t="inlineStr">
        <is>
          <t>[DELEGADO DE PROTECCIÓN DE DATOS…]</t>
        </is>
      </c>
      <c r="H12" s="26" t="inlineStr">
        <is>
          <t>Cliente</t>
        </is>
      </c>
      <c r="I12" s="29" t="n"/>
      <c r="J12" s="29" t="inlineStr">
        <is>
          <t>Pendiente</t>
        </is>
      </c>
      <c r="K12" s="26" t="inlineStr">
        <is>
          <t>apps/storefront/src/config/company.ts → COMPANY.dpo</t>
        </is>
      </c>
      <c r="L12" s="26" t="inlineStr"/>
    </row>
    <row r="13" ht="30" customHeight="1">
      <c r="A13" s="26" t="n">
        <v>10</v>
      </c>
      <c r="B13" s="26" t="inlineStr">
        <is>
          <t>Empresa y datos legales</t>
        </is>
      </c>
      <c r="C13" s="27" t="inlineStr">
        <is>
          <t>Proveedor de hosting y país</t>
        </is>
      </c>
      <c r="D13" s="26" t="inlineStr">
        <is>
          <t>Aparece como destinatario de datos en la política de privacidad.</t>
        </is>
      </c>
      <c r="E13" s="26" t="inlineStr">
        <is>
          <t>Hetzner Online GmbH (Alemania)</t>
        </is>
      </c>
      <c r="F13" s="30" t="inlineStr">
        <is>
          <t>Importante</t>
        </is>
      </c>
      <c r="G13" s="26" t="inlineStr">
        <is>
          <t>[PROVEEDOR DE HOSTING Y PAÍS]</t>
        </is>
      </c>
      <c r="H13" s="26" t="inlineStr">
        <is>
          <t>Cliente + Técnico</t>
        </is>
      </c>
      <c r="I13" s="29" t="n"/>
      <c r="J13" s="29" t="inlineStr">
        <is>
          <t>Pendiente</t>
        </is>
      </c>
      <c r="K13" s="26" t="inlineStr">
        <is>
          <t>apps/storefront/src/config/company.ts → COMPANY.hostingProvider</t>
        </is>
      </c>
      <c r="L13" s="26" t="inlineStr">
        <is>
          <t>Se decide al contratar el servidor (hoja «Hosting»).</t>
        </is>
      </c>
    </row>
    <row r="14" ht="30" customHeight="1">
      <c r="A14" s="26" t="n">
        <v>11</v>
      </c>
      <c r="B14" s="26" t="inlineStr">
        <is>
          <t>Empresa y datos legales</t>
        </is>
      </c>
      <c r="C14" s="27" t="inlineStr">
        <is>
          <t>Proveedor de envío de emails y país</t>
        </is>
      </c>
      <c r="D14" s="26" t="inlineStr">
        <is>
          <t>Aparece como destinatario de datos en la política de privacidad.</t>
        </is>
      </c>
      <c r="E14" s="26" t="inlineStr">
        <is>
          <t>Brevo (Francia)</t>
        </is>
      </c>
      <c r="F14" s="30" t="inlineStr">
        <is>
          <t>Importante</t>
        </is>
      </c>
      <c r="G14" s="26" t="inlineStr">
        <is>
          <t>[PROVEEDOR DE ENVÍO DE EMAILS Y PAÍS]</t>
        </is>
      </c>
      <c r="H14" s="26" t="inlineStr">
        <is>
          <t>Cliente + Técnico</t>
        </is>
      </c>
      <c r="I14" s="29" t="n"/>
      <c r="J14" s="29" t="inlineStr">
        <is>
          <t>Pendiente</t>
        </is>
      </c>
      <c r="K14" s="26" t="inlineStr">
        <is>
          <t>apps/storefront/src/config/company.ts → COMPANY.emailProvider</t>
        </is>
      </c>
      <c r="L14" s="26" t="inlineStr">
        <is>
          <t>Ver sección E.</t>
        </is>
      </c>
    </row>
    <row r="15" ht="30" customHeight="1">
      <c r="A15" s="26" t="n">
        <v>12</v>
      </c>
      <c r="B15" s="26" t="inlineStr">
        <is>
          <t>Empresa y datos legales</t>
        </is>
      </c>
      <c r="C15" s="27" t="inlineStr">
        <is>
          <t>Empresas de transporte</t>
        </is>
      </c>
      <c r="D15" s="26" t="inlineStr">
        <is>
          <t>Aparecen en la política de privacidad y en envíos y devoluciones.</t>
        </is>
      </c>
      <c r="E15" s="26" t="inlineStr">
        <is>
          <t>Correos Express y SEUR</t>
        </is>
      </c>
      <c r="F15" s="30" t="inlineStr">
        <is>
          <t>Importante</t>
        </is>
      </c>
      <c r="G15" s="26" t="inlineStr">
        <is>
          <t>[EMPRESAS DE TRANSPORTE]</t>
        </is>
      </c>
      <c r="H15" s="26" t="inlineStr">
        <is>
          <t>Cliente</t>
        </is>
      </c>
      <c r="I15" s="29" t="n"/>
      <c r="J15" s="29" t="inlineStr">
        <is>
          <t>Pendiente</t>
        </is>
      </c>
      <c r="K15" s="26" t="inlineStr">
        <is>
          <t>apps/storefront/src/config/company.ts → COMPANY.carriers</t>
        </is>
      </c>
      <c r="L15" s="26" t="inlineStr"/>
    </row>
    <row r="16" ht="30" customHeight="1">
      <c r="A16" s="26" t="n">
        <v>13</v>
      </c>
      <c r="B16" s="26" t="inlineStr">
        <is>
          <t>Empresa y datos legales</t>
        </is>
      </c>
      <c r="C16" s="27" t="inlineStr">
        <is>
          <t>Dirección para devoluciones</t>
        </is>
      </c>
      <c r="D16" s="26" t="inlineStr">
        <is>
          <t>A dónde envía el cliente los productos devueltos.</t>
        </is>
      </c>
      <c r="E16" s="26" t="inlineStr">
        <is>
          <t>Almacén Iron Savage, Pol. Ind. X, nave 3, 28906 Getafe (Madrid)</t>
        </is>
      </c>
      <c r="F16" s="28" t="inlineStr">
        <is>
          <t>Crítico</t>
        </is>
      </c>
      <c r="G16" s="26" t="inlineStr">
        <is>
          <t>[DIRECCIÓN PARA DEVOLUCIONES]</t>
        </is>
      </c>
      <c r="H16" s="26" t="inlineStr">
        <is>
          <t>Cliente</t>
        </is>
      </c>
      <c r="I16" s="29" t="n"/>
      <c r="J16" s="29" t="inlineStr">
        <is>
          <t>Pendiente</t>
        </is>
      </c>
      <c r="K16" s="26" t="inlineStr">
        <is>
          <t>apps/storefront/src/config/company.ts → COMPANY.returnsAddress</t>
        </is>
      </c>
      <c r="L16" s="26" t="inlineStr">
        <is>
          <t>Puede coincidir con el domicilio social.</t>
        </is>
      </c>
    </row>
    <row r="17" ht="30" customHeight="1">
      <c r="A17" s="26" t="n">
        <v>14</v>
      </c>
      <c r="B17" s="26" t="inlineStr">
        <is>
          <t>Empresa y datos legales</t>
        </is>
      </c>
      <c r="C17" s="27" t="inlineStr">
        <is>
          <t>Plazos de entrega</t>
        </is>
      </c>
      <c r="D17" s="26" t="inlineStr">
        <is>
          <t>Plazo estimado desde que se confirma el pago (se muestra en envíos y devoluciones).</t>
        </is>
      </c>
      <c r="E17" s="26" t="inlineStr">
        <is>
          <t>24-72 h laborables en península; 3-5 días laborables en Baleares</t>
        </is>
      </c>
      <c r="F17" s="28" t="inlineStr">
        <is>
          <t>Crítico</t>
        </is>
      </c>
      <c r="G17" s="26" t="inlineStr">
        <is>
          <t>[PLAZOS DE ENTREGA]</t>
        </is>
      </c>
      <c r="H17" s="26" t="inlineStr">
        <is>
          <t>Cliente</t>
        </is>
      </c>
      <c r="I17" s="29" t="n"/>
      <c r="J17" s="29" t="inlineStr">
        <is>
          <t>Pendiente</t>
        </is>
      </c>
      <c r="K17" s="26" t="inlineStr">
        <is>
          <t>apps/storefront/src/config/company.ts → COMPANY.deliveryTimes</t>
        </is>
      </c>
      <c r="L17" s="26" t="inlineStr">
        <is>
          <t>Nunca más de 30 días (límite legal).</t>
        </is>
      </c>
    </row>
    <row r="18" ht="30" customHeight="1">
      <c r="A18" s="26" t="n">
        <v>15</v>
      </c>
      <c r="B18" s="26" t="inlineStr">
        <is>
          <t>Empresa y datos legales</t>
        </is>
      </c>
      <c r="C18" s="27" t="inlineStr">
        <is>
          <t>Quién paga la devolución por desistimiento</t>
        </is>
      </c>
      <c r="D18" s="26" t="inlineStr">
        <is>
          <t>La ley obliga a informar de quién asume el coste; si no se informa, lo paga la tienda.</t>
        </is>
      </c>
      <c r="E18" s="26" t="inlineStr">
        <is>
          <t>El cliente, con un coste aproximado de 5 €   (o «Gratuita»)</t>
        </is>
      </c>
      <c r="F18" s="28" t="inlineStr">
        <is>
          <t>Crítico</t>
        </is>
      </c>
      <c r="G18" s="26" t="inlineStr">
        <is>
          <t>[QUIÉN ASUME EL COSTE DE LA DEVOLUCIÓN]</t>
        </is>
      </c>
      <c r="H18" s="26" t="inlineStr">
        <is>
          <t>Cliente</t>
        </is>
      </c>
      <c r="I18" s="29" t="n"/>
      <c r="J18" s="29" t="inlineStr">
        <is>
          <t>Pendiente</t>
        </is>
      </c>
      <c r="K18" s="26" t="inlineStr">
        <is>
          <t>apps/storefront/src/config/company.ts → COMPANY.returnCosts</t>
        </is>
      </c>
      <c r="L18" s="26" t="inlineStr"/>
    </row>
    <row r="19" ht="36" customHeight="1">
      <c r="A19" s="26" t="n">
        <v>16</v>
      </c>
      <c r="B19" s="26" t="inlineStr">
        <is>
          <t>Empresa y datos legales</t>
        </is>
      </c>
      <c r="C19" s="27" t="inlineStr">
        <is>
          <t>Entidad de resolución de conflictos / arbitraje de consumo</t>
        </is>
      </c>
      <c r="D19" s="26" t="inlineStr">
        <is>
          <t>Hay que informar si la empresa está adherida a alguna (o que no lo está).</t>
        </is>
      </c>
      <c r="E19" s="26" t="inlineStr">
        <is>
          <t>No estamos adheridos a ningún sistema de resolución alternativa   (o «Junta Arbitral de Consumo de …»)</t>
        </is>
      </c>
      <c r="F19" s="30" t="inlineStr">
        <is>
          <t>Importante</t>
        </is>
      </c>
      <c r="G19" s="26" t="inlineStr">
        <is>
          <t>[ENTIDAD DE RESOLUCIÓN ALTERNATIVA…]</t>
        </is>
      </c>
      <c r="H19" s="26" t="inlineStr">
        <is>
          <t>Cliente</t>
        </is>
      </c>
      <c r="I19" s="29" t="n"/>
      <c r="J19" s="29" t="inlineStr">
        <is>
          <t>Pendiente</t>
        </is>
      </c>
      <c r="K19" s="26" t="inlineStr">
        <is>
          <t>apps/storefront/src/config/company.ts → COMPANY.adrEntity</t>
        </is>
      </c>
      <c r="L19" s="26" t="inlineStr"/>
    </row>
    <row r="20" ht="20" customHeight="1">
      <c r="A20" s="24" t="n"/>
      <c r="B20" s="25" t="inlineStr">
        <is>
          <t>B. Textos legales: decisiones y revisión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36" customHeight="1">
      <c r="A21" s="26" t="n">
        <v>17</v>
      </c>
      <c r="B21" s="26" t="inlineStr">
        <is>
          <t>Textos legales: decisiones y revisión</t>
        </is>
      </c>
      <c r="C21" s="27" t="inlineStr">
        <is>
          <t>Revisión de los textos legales por un abogado</t>
        </is>
      </c>
      <c r="D21" s="26" t="inlineStr">
        <is>
          <t>Aviso legal, términos, privacidad, cookies, envíos y devoluciones, IA y accesibilidad están redactados conforme a la normativa española, pero deben revisarse antes de publicar.</t>
        </is>
      </c>
      <c r="E21" s="26" t="inlineStr">
        <is>
          <t>OK del abogado (fecha)</t>
        </is>
      </c>
      <c r="F21" s="28" t="inlineStr">
        <is>
          <t>Crítico</t>
        </is>
      </c>
      <c r="G21" s="26" t="inlineStr">
        <is>
          <t>Borrador con aviso «pendiente de revisión legal»</t>
        </is>
      </c>
      <c r="H21" s="26" t="inlineStr">
        <is>
          <t>Abogado</t>
        </is>
      </c>
      <c r="I21" s="29" t="n"/>
      <c r="J21" s="29" t="inlineStr">
        <is>
          <t>Pendiente</t>
        </is>
      </c>
      <c r="K21" s="26" t="inlineStr">
        <is>
          <t>apps/storefront/src/site/legal/*.tsx</t>
        </is>
      </c>
      <c r="L21" s="26" t="inlineStr"/>
    </row>
    <row r="22" ht="30" customHeight="1">
      <c r="A22" s="26" t="n">
        <v>18</v>
      </c>
      <c r="B22" s="26" t="inlineStr">
        <is>
          <t>Textos legales: decisiones y revisión</t>
        </is>
      </c>
      <c r="C22" s="27" t="inlineStr">
        <is>
          <t>Edad mínima para crear una cuenta</t>
        </is>
      </c>
      <c r="D22" s="26" t="inlineStr">
        <is>
          <t>Los términos dicen hoy «mayor de 18 años».</t>
        </is>
      </c>
      <c r="E22" s="26" t="inlineStr">
        <is>
          <t>18 años   (o la que decida el cliente; nunca menos de 14 por RGPD)</t>
        </is>
      </c>
      <c r="F22" s="30" t="inlineStr">
        <is>
          <t>Importante</t>
        </is>
      </c>
      <c r="G22" s="26" t="inlineStr">
        <is>
          <t>18 años</t>
        </is>
      </c>
      <c r="H22" s="26" t="inlineStr">
        <is>
          <t>Cliente</t>
        </is>
      </c>
      <c r="I22" s="29" t="n"/>
      <c r="J22" s="29" t="inlineStr">
        <is>
          <t>Pendiente</t>
        </is>
      </c>
      <c r="K22" s="26" t="inlineStr">
        <is>
          <t>terminos-y-condiciones.tsx §3 y politica-de-privacidad.tsx</t>
        </is>
      </c>
      <c r="L22" s="26" t="inlineStr"/>
    </row>
    <row r="23" ht="36" customHeight="1">
      <c r="A23" s="26" t="n">
        <v>19</v>
      </c>
      <c r="B23" s="26" t="inlineStr">
        <is>
          <t>Textos legales: decisiones y revisión</t>
        </is>
      </c>
      <c r="C23" s="27" t="inlineStr">
        <is>
          <t>Qué contenidos se han creado con IA</t>
        </is>
      </c>
      <c r="D23" s="26" t="inlineStr">
        <is>
          <t>Transparencia exigida: indicar si textos, imágenes o traducciones de la tienda se han generado con IA.</t>
        </is>
      </c>
      <c r="E23" s="26" t="inlineStr">
        <is>
          <t>Descripciones de producto redactadas con IA y revisadas por el equipo; imágenes: ninguna</t>
        </is>
      </c>
      <c r="F23" s="30" t="inlineStr">
        <is>
          <t>Importante</t>
        </is>
      </c>
      <c r="G23" s="26" t="inlineStr">
        <is>
          <t>[INDICAR QUÉ CONTENIDOS SE HAN GENERADO CON IA…]</t>
        </is>
      </c>
      <c r="H23" s="26" t="inlineStr">
        <is>
          <t>Cliente</t>
        </is>
      </c>
      <c r="I23" s="29" t="n"/>
      <c r="J23" s="29" t="inlineStr">
        <is>
          <t>Pendiente</t>
        </is>
      </c>
      <c r="K23" s="26" t="inlineStr">
        <is>
          <t>apps/storefront/src/site/legal/uso-de-inteligencia-artificial.tsx</t>
        </is>
      </c>
      <c r="L23" s="26" t="inlineStr"/>
    </row>
    <row r="24" ht="36" customHeight="1">
      <c r="A24" s="26" t="n">
        <v>20</v>
      </c>
      <c r="B24" s="26" t="inlineStr">
        <is>
          <t>Textos legales: decisiones y revisión</t>
        </is>
      </c>
      <c r="C24" s="27" t="inlineStr">
        <is>
          <t>¿La empresa es microempresa?</t>
        </is>
      </c>
      <c r="D24" s="26" t="inlineStr">
        <is>
          <t>Menos de 10 empleados y facturación ≤ 2 M€: queda exenta de la Ley 11/2023 de accesibilidad (la tienda ya cumple igualmente).</t>
        </is>
      </c>
      <c r="E24" s="26" t="inlineStr">
        <is>
          <t>Sí / No</t>
        </is>
      </c>
      <c r="F24" s="32" t="inlineStr">
        <is>
          <t>Informativo</t>
        </is>
      </c>
      <c r="G24" s="26" t="inlineStr">
        <is>
          <t>—</t>
        </is>
      </c>
      <c r="H24" s="26" t="inlineStr">
        <is>
          <t>Cliente</t>
        </is>
      </c>
      <c r="I24" s="29" t="n"/>
      <c r="J24" s="29" t="inlineStr">
        <is>
          <t>Pendiente</t>
        </is>
      </c>
      <c r="K24" s="26" t="inlineStr">
        <is>
          <t>docs/legal.md (accesibilidad)</t>
        </is>
      </c>
      <c r="L24" s="26" t="inlineStr">
        <is>
          <t>Solo informativo; la declaración de accesibilidad ya está publicada.</t>
        </is>
      </c>
    </row>
    <row r="25" ht="30" customHeight="1">
      <c r="A25" s="26" t="n">
        <v>21</v>
      </c>
      <c r="B25" s="26" t="inlineStr">
        <is>
          <t>Textos legales: decisiones y revisión</t>
        </is>
      </c>
      <c r="C25" s="27" t="inlineStr">
        <is>
          <t>Barreras de accesibilidad conocidas</t>
        </is>
      </c>
      <c r="D25" s="26" t="inlineStr">
        <is>
          <t>Si una revisión manual (lector de pantalla) detecta problemas, se anotan en la declaración con su alternativa.</t>
        </is>
      </c>
      <c r="E25" s="26" t="inlineStr">
        <is>
          <t>Ninguna conocida   (o lista de barreras + fecha de solución)</t>
        </is>
      </c>
      <c r="F25" s="31" t="inlineStr">
        <is>
          <t>Recomendado</t>
        </is>
      </c>
      <c r="G25" s="26" t="inlineStr">
        <is>
          <t>[AÑADIR AQUÍ LAS BARRERAS…]</t>
        </is>
      </c>
      <c r="H25" s="26" t="inlineStr">
        <is>
          <t>Cliente + Técnico</t>
        </is>
      </c>
      <c r="I25" s="29" t="n"/>
      <c r="J25" s="29" t="inlineStr">
        <is>
          <t>Pendiente</t>
        </is>
      </c>
      <c r="K25" s="26" t="inlineStr">
        <is>
          <t>apps/storefront/src/site/legal/accesibilidad.tsx</t>
        </is>
      </c>
      <c r="L25" s="26" t="inlineStr"/>
    </row>
    <row r="26" ht="30" customHeight="1">
      <c r="A26" s="26" t="n">
        <v>22</v>
      </c>
      <c r="B26" s="26" t="inlineStr">
        <is>
          <t>Textos legales: decisiones y revisión</t>
        </is>
      </c>
      <c r="C26" s="27" t="inlineStr">
        <is>
          <t>¿Se enviarán newsletters / comunicaciones comerciales?</t>
        </is>
      </c>
      <c r="D26" s="26" t="inlineStr">
        <is>
          <t>La privacidad contempla esta posibilidad, pero hoy la tienda no tiene newsletter ni casilla para suscribirse.</t>
        </is>
      </c>
      <c r="E26" s="26" t="inlineStr">
        <is>
          <t>No por ahora   (o «Sí» → hay que desarrollar la suscripción con consentimiento)</t>
        </is>
      </c>
      <c r="F26" s="31" t="inlineStr">
        <is>
          <t>Recomendado</t>
        </is>
      </c>
      <c r="G26" s="26" t="inlineStr">
        <is>
          <t>No existe</t>
        </is>
      </c>
      <c r="H26" s="26" t="inlineStr">
        <is>
          <t>Cliente</t>
        </is>
      </c>
      <c r="I26" s="29" t="n"/>
      <c r="J26" s="29" t="inlineStr">
        <is>
          <t>Pendiente</t>
        </is>
      </c>
      <c r="K26" s="26" t="inlineStr">
        <is>
          <t>—</t>
        </is>
      </c>
      <c r="L26" s="26" t="inlineStr">
        <is>
          <t>Si es «Sí», requiere desarrollo.</t>
        </is>
      </c>
    </row>
    <row r="27" ht="30" customHeight="1">
      <c r="A27" s="26" t="n">
        <v>23</v>
      </c>
      <c r="B27" s="26" t="inlineStr">
        <is>
          <t>Textos legales: decisiones y revisión</t>
        </is>
      </c>
      <c r="C27" s="27" t="inlineStr">
        <is>
          <t>Hojas oficiales de queja y reclamación</t>
        </is>
      </c>
      <c r="D27" s="26" t="inlineStr">
        <is>
          <t>Obligatorio tenerlas a disposición del consumidor; el modelo depende de la comunidad autónoma.</t>
        </is>
      </c>
      <c r="E27" s="26" t="inlineStr">
        <is>
          <t>Modelo oficial de la Comunidad de Madrid, en PDF</t>
        </is>
      </c>
      <c r="F27" s="30" t="inlineStr">
        <is>
          <t>Importante</t>
        </is>
      </c>
      <c r="G27" s="26" t="inlineStr">
        <is>
          <t>Los términos indican que se solicitan por email</t>
        </is>
      </c>
      <c r="H27" s="26" t="inlineStr">
        <is>
          <t>Cliente</t>
        </is>
      </c>
      <c r="I27" s="29" t="n"/>
      <c r="J27" s="29" t="inlineStr">
        <is>
          <t>Pendiente</t>
        </is>
      </c>
      <c r="K27" s="26" t="inlineStr">
        <is>
          <t>—</t>
        </is>
      </c>
      <c r="L27" s="26" t="inlineStr"/>
    </row>
    <row r="28" ht="36" customHeight="1">
      <c r="A28" s="26" t="n">
        <v>24</v>
      </c>
      <c r="B28" s="26" t="inlineStr">
        <is>
          <t>Textos legales: decisiones y revisión</t>
        </is>
      </c>
      <c r="C28" s="27" t="inlineStr">
        <is>
          <t>Excepciones al desistimiento</t>
        </is>
      </c>
      <c r="D28" s="26" t="inlineStr">
        <is>
          <t>Los textos excluyen del desistimiento los productos con el precinto abierto (salud e higiene). Confirmar que aplica a todo el catálogo.</t>
        </is>
      </c>
      <c r="E28" s="26" t="inlineStr">
        <is>
          <t>Confirmado / cambios</t>
        </is>
      </c>
      <c r="F28" s="30" t="inlineStr">
        <is>
          <t>Importante</t>
        </is>
      </c>
      <c r="G28" s="26" t="inlineStr">
        <is>
          <t>Productos desprecintados excluidos</t>
        </is>
      </c>
      <c r="H28" s="26" t="inlineStr">
        <is>
          <t>Abogado</t>
        </is>
      </c>
      <c r="I28" s="29" t="n"/>
      <c r="J28" s="29" t="inlineStr">
        <is>
          <t>Pendiente</t>
        </is>
      </c>
      <c r="K28" s="26" t="inlineStr">
        <is>
          <t>terminos-y-condiciones.tsx §9 y envios-y-devoluciones.tsx §3</t>
        </is>
      </c>
      <c r="L28" s="26" t="inlineStr"/>
    </row>
    <row r="29" ht="30" customHeight="1">
      <c r="A29" s="26" t="n">
        <v>25</v>
      </c>
      <c r="B29" s="26" t="inlineStr">
        <is>
          <t>Textos legales: decisiones y revisión</t>
        </is>
      </c>
      <c r="C29" s="27" t="inlineStr">
        <is>
          <t>Quitar el aviso «Borrador — pendiente de revisión legal»</t>
        </is>
      </c>
      <c r="D29" s="26" t="inlineStr">
        <is>
          <t>Cuando no quede ningún dato resaltado y el abogado haya dado el visto bueno.</t>
        </is>
      </c>
      <c r="E29" s="26" t="inlineStr">
        <is>
          <t>Hecho</t>
        </is>
      </c>
      <c r="F29" s="28" t="inlineStr">
        <is>
          <t>Crítico</t>
        </is>
      </c>
      <c r="G29" s="26" t="inlineStr">
        <is>
          <t>Visible en todas las páginas legales</t>
        </is>
      </c>
      <c r="H29" s="26" t="inlineStr">
        <is>
          <t>Técnico</t>
        </is>
      </c>
      <c r="I29" s="29" t="n"/>
      <c r="J29" s="29" t="inlineStr">
        <is>
          <t>Pendiente</t>
        </is>
      </c>
      <c r="K29" s="26" t="inlineStr">
        <is>
          <t>apps/storefront/src/site/legal/legal-page.tsx</t>
        </is>
      </c>
      <c r="L29" s="26" t="inlineStr"/>
    </row>
    <row r="30" ht="30" customHeight="1">
      <c r="A30" s="26" t="n">
        <v>26</v>
      </c>
      <c r="B30" s="26" t="inlineStr">
        <is>
          <t>Textos legales: decisiones y revisión</t>
        </is>
      </c>
      <c r="C30" s="27" t="inlineStr">
        <is>
          <t>Versión (fecha) de los textos legales</t>
        </is>
      </c>
      <c r="D30" s="26" t="inlineStr">
        <is>
          <t>Fecha de «Última actualización» y versión que se guarda en cada pedido al aceptar los términos.</t>
        </is>
      </c>
      <c r="E30" s="26" t="inlineStr">
        <is>
          <t>2026-10-15</t>
        </is>
      </c>
      <c r="F30" s="32" t="inlineStr">
        <is>
          <t>Informativo</t>
        </is>
      </c>
      <c r="G30" s="26" t="inlineStr">
        <is>
          <t>2026-09-28</t>
        </is>
      </c>
      <c r="H30" s="26" t="inlineStr">
        <is>
          <t>Técnico</t>
        </is>
      </c>
      <c r="I30" s="29" t="n"/>
      <c r="J30" s="29" t="inlineStr">
        <is>
          <t>Pendiente</t>
        </is>
      </c>
      <c r="K30" s="26" t="inlineStr">
        <is>
          <t>apps/storefront/src/config/legal.ts → LEGAL_VERSION</t>
        </is>
      </c>
      <c r="L30" s="26" t="inlineStr">
        <is>
          <t>Actualizar cada vez que cambie un texto legal.</t>
        </is>
      </c>
    </row>
    <row r="31" ht="20" customHeight="1">
      <c r="A31" s="24" t="n"/>
      <c r="B31" s="25" t="inlineStr">
        <is>
          <t>C. Facturación y fiscalidad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 ht="30" customHeight="1">
      <c r="A32" s="26" t="n">
        <v>27</v>
      </c>
      <c r="B32" s="26" t="inlineStr">
        <is>
          <t>Facturación y fiscalidad</t>
        </is>
      </c>
      <c r="C32" s="27" t="inlineStr">
        <is>
          <t>Razón social en las facturas</t>
        </is>
      </c>
      <c r="D32" s="26" t="inlineStr">
        <is>
          <t>Nombre fiscal exacto del emisor de la factura.</t>
        </is>
      </c>
      <c r="E32" s="26" t="inlineStr">
        <is>
          <t>Iron Savage Nutrition, S.L.</t>
        </is>
      </c>
      <c r="F32" s="28" t="inlineStr">
        <is>
          <t>Crítico</t>
        </is>
      </c>
      <c r="G32" s="26" t="inlineStr">
        <is>
          <t>Tienda Suple (placeholder)</t>
        </is>
      </c>
      <c r="H32" s="26" t="inlineStr">
        <is>
          <t>Cliente</t>
        </is>
      </c>
      <c r="I32" s="29" t="n"/>
      <c r="J32" s="29" t="inlineStr">
        <is>
          <t>Pendiente</t>
        </is>
      </c>
      <c r="K32" s="26" t="inlineStr">
        <is>
          <t>.env.prod → INVOICE_STORE_NAME</t>
        </is>
      </c>
      <c r="L32" s="26" t="inlineStr">
        <is>
          <t>Si no se rellena, las facturas dicen «Razón social pendiente de configurar».</t>
        </is>
      </c>
    </row>
    <row r="33" ht="30" customHeight="1">
      <c r="A33" s="26" t="n">
        <v>28</v>
      </c>
      <c r="B33" s="26" t="inlineStr">
        <is>
          <t>Facturación y fiscalidad</t>
        </is>
      </c>
      <c r="C33" s="27" t="inlineStr">
        <is>
          <t>NIF/CIF en las facturas</t>
        </is>
      </c>
      <c r="D33" s="26" t="inlineStr"/>
      <c r="E33" s="26" t="inlineStr">
        <is>
          <t>B12345678</t>
        </is>
      </c>
      <c r="F33" s="28" t="inlineStr">
        <is>
          <t>Crítico</t>
        </is>
      </c>
      <c r="G33" s="26" t="inlineStr">
        <is>
          <t>B00000000</t>
        </is>
      </c>
      <c r="H33" s="26" t="inlineStr">
        <is>
          <t>Cliente</t>
        </is>
      </c>
      <c r="I33" s="29" t="n"/>
      <c r="J33" s="29" t="inlineStr">
        <is>
          <t>Pendiente</t>
        </is>
      </c>
      <c r="K33" s="26" t="inlineStr">
        <is>
          <t>.env.prod → INVOICE_STORE_TAX_ID</t>
        </is>
      </c>
      <c r="L33" s="26" t="inlineStr"/>
    </row>
    <row r="34" ht="30" customHeight="1">
      <c r="A34" s="26" t="n">
        <v>29</v>
      </c>
      <c r="B34" s="26" t="inlineStr">
        <is>
          <t>Facturación y fiscalidad</t>
        </is>
      </c>
      <c r="C34" s="27" t="inlineStr">
        <is>
          <t>Dirección fiscal en las facturas</t>
        </is>
      </c>
      <c r="D34" s="26" t="inlineStr"/>
      <c r="E34" s="26" t="inlineStr">
        <is>
          <t>Calle Mayor 1, 2º B, 28013 Madrid, España</t>
        </is>
      </c>
      <c r="F34" s="28" t="inlineStr">
        <is>
          <t>Crítico</t>
        </is>
      </c>
      <c r="G34" s="26" t="inlineStr">
        <is>
          <t>Calle Ejemplo 1, 28001 Madrid, España</t>
        </is>
      </c>
      <c r="H34" s="26" t="inlineStr">
        <is>
          <t>Cliente</t>
        </is>
      </c>
      <c r="I34" s="29" t="n"/>
      <c r="J34" s="29" t="inlineStr">
        <is>
          <t>Pendiente</t>
        </is>
      </c>
      <c r="K34" s="26" t="inlineStr">
        <is>
          <t>.env.prod → INVOICE_STORE_ADDRESS</t>
        </is>
      </c>
      <c r="L34" s="26" t="inlineStr"/>
    </row>
    <row r="35" ht="30" customHeight="1">
      <c r="A35" s="26" t="n">
        <v>30</v>
      </c>
      <c r="B35" s="26" t="inlineStr">
        <is>
          <t>Facturación y fiscalidad</t>
        </is>
      </c>
      <c r="C35" s="27" t="inlineStr">
        <is>
          <t>Email en las facturas</t>
        </is>
      </c>
      <c r="D35" s="26" t="inlineStr"/>
      <c r="E35" s="26" t="inlineStr">
        <is>
          <t>facturacion@ironsavage.es</t>
        </is>
      </c>
      <c r="F35" s="30" t="inlineStr">
        <is>
          <t>Importante</t>
        </is>
      </c>
      <c r="G35" s="26" t="inlineStr">
        <is>
          <t>facturacion@example.com</t>
        </is>
      </c>
      <c r="H35" s="26" t="inlineStr">
        <is>
          <t>Cliente</t>
        </is>
      </c>
      <c r="I35" s="29" t="n"/>
      <c r="J35" s="29" t="inlineStr">
        <is>
          <t>Pendiente</t>
        </is>
      </c>
      <c r="K35" s="26" t="inlineStr">
        <is>
          <t>.env.prod → INVOICE_STORE_EMAIL</t>
        </is>
      </c>
      <c r="L35" s="26" t="inlineStr"/>
    </row>
    <row r="36" ht="30" customHeight="1">
      <c r="A36" s="26" t="n">
        <v>31</v>
      </c>
      <c r="B36" s="26" t="inlineStr">
        <is>
          <t>Facturación y fiscalidad</t>
        </is>
      </c>
      <c r="C36" s="27" t="inlineStr">
        <is>
          <t>Teléfono en las facturas (opcional)</t>
        </is>
      </c>
      <c r="D36" s="26" t="inlineStr">
        <is>
          <t>Solo aparece si se rellena.</t>
        </is>
      </c>
      <c r="E36" s="26" t="inlineStr">
        <is>
          <t>+34 600 000 000</t>
        </is>
      </c>
      <c r="F36" s="31" t="inlineStr">
        <is>
          <t>Recomendado</t>
        </is>
      </c>
      <c r="G36" s="26" t="inlineStr">
        <is>
          <t>(vacío)</t>
        </is>
      </c>
      <c r="H36" s="26" t="inlineStr">
        <is>
          <t>Cliente</t>
        </is>
      </c>
      <c r="I36" s="29" t="n"/>
      <c r="J36" s="29" t="inlineStr">
        <is>
          <t>Pendiente</t>
        </is>
      </c>
      <c r="K36" s="26" t="inlineStr">
        <is>
          <t>.env.prod → INVOICE_STORE_PHONE</t>
        </is>
      </c>
      <c r="L36" s="26" t="inlineStr"/>
    </row>
    <row r="37" ht="30" customHeight="1">
      <c r="A37" s="26" t="n">
        <v>32</v>
      </c>
      <c r="B37" s="26" t="inlineStr">
        <is>
          <t>Facturación y fiscalidad</t>
        </is>
      </c>
      <c r="C37" s="27" t="inlineStr">
        <is>
          <t>Datos del Registro Mercantil en las facturas</t>
        </is>
      </c>
      <c r="D37" s="26" t="inlineStr">
        <is>
          <t>Obligatorio en las facturas de una sociedad (art. 24 del Reglamento del Registro Mercantil).</t>
        </is>
      </c>
      <c r="E37" s="26" t="inlineStr">
        <is>
          <t>Inscrita en el R.M. de Madrid, Tomo 1234, Folio 56, Hoja M-78901</t>
        </is>
      </c>
      <c r="F37" s="28" t="inlineStr">
        <is>
          <t>Crítico</t>
        </is>
      </c>
      <c r="G37" s="26" t="inlineStr">
        <is>
          <t>(vacío)</t>
        </is>
      </c>
      <c r="H37" s="26" t="inlineStr">
        <is>
          <t>Cliente</t>
        </is>
      </c>
      <c r="I37" s="29" t="n"/>
      <c r="J37" s="29" t="inlineStr">
        <is>
          <t>Pendiente</t>
        </is>
      </c>
      <c r="K37" s="26" t="inlineStr">
        <is>
          <t>.env.prod → INVOICE_STORE_REGISTRY</t>
        </is>
      </c>
      <c r="L37" s="26" t="inlineStr">
        <is>
          <t>Dejar vacío si es autónomo.</t>
        </is>
      </c>
    </row>
    <row r="38" ht="48" customHeight="1">
      <c r="A38" s="26" t="n">
        <v>33</v>
      </c>
      <c r="B38" s="26" t="inlineStr">
        <is>
          <t>Facturación y fiscalidad</t>
        </is>
      </c>
      <c r="C38" s="27" t="inlineStr">
        <is>
          <t>Tipo de IVA de los productos</t>
        </is>
      </c>
      <c r="D38" s="26" t="inlineStr">
        <is>
          <t>Ya están creadas las categorías General 21 %, Reducido 10 % y Superreducido 4 %. Falta decidir cuál lleva cada producto; por defecto, General. Los complementos alimenticios suelen tributar al 10 %.</t>
        </is>
      </c>
      <c r="E38" s="26" t="inlineStr">
        <is>
          <t>Proteínas y creatinas: Reducido (10 %); shakers y ropa: General (21 %)</t>
        </is>
      </c>
      <c r="F38" s="28" t="inlineStr">
        <is>
          <t>Crítico</t>
        </is>
      </c>
      <c r="G38" s="26" t="inlineStr">
        <is>
          <t>General 21 % para todo (categorías 10 % y 4 % ya disponibles)</t>
        </is>
      </c>
      <c r="H38" s="26" t="inlineStr">
        <is>
          <t>Gestoría / asesor fiscal</t>
        </is>
      </c>
      <c r="I38" s="29" t="n"/>
      <c r="J38" s="29" t="inlineStr">
        <is>
          <t>Pendiente</t>
        </is>
      </c>
      <c r="K38" s="26" t="inlineStr">
        <is>
          <t>Dashboard → Catálogo → producto → variante → Categoría de impuesto</t>
        </is>
      </c>
      <c r="L38" s="26" t="inlineStr">
        <is>
          <t>Afecta al precio final y a las facturas. Ver docs/iva-envios-facturacion.md.</t>
        </is>
      </c>
    </row>
    <row r="39" ht="48" customHeight="1">
      <c r="A39" s="26" t="n">
        <v>34</v>
      </c>
      <c r="B39" s="26" t="inlineStr">
        <is>
          <t>Facturación y fiscalidad</t>
        </is>
      </c>
      <c r="C39" s="27" t="inlineStr">
        <is>
          <t>¿Se vende a Canarias, Ceuta y Melilla?</t>
        </is>
      </c>
      <c r="D39" s="26" t="inlineStr">
        <is>
          <t>Ya está preparado: esos pedidos se detectan por código postal y van sin IVA español (zona «Canarias, Ceuta y Melilla»). Hoy no se puede comprar desde allí hasta que se marque el territorio en un método de envío.</t>
        </is>
      </c>
      <c r="E39" s="26" t="inlineStr">
        <is>
          <t>No / Sí → marcar «Islas Canarias» (etc.) en un método de envío con su tarifa</t>
        </is>
      </c>
      <c r="F39" s="30" t="inlineStr">
        <is>
          <t>Importante</t>
        </is>
      </c>
      <c r="G39" s="26" t="inlineStr">
        <is>
          <t>No se envía (preparado)</t>
        </is>
      </c>
      <c r="H39" s="26" t="inlineStr">
        <is>
          <t>Gestoría / asesor fiscal</t>
        </is>
      </c>
      <c r="I39" s="29" t="n"/>
      <c r="J39" s="29" t="inlineStr">
        <is>
          <t>Pendiente</t>
        </is>
      </c>
      <c r="K39" s="26" t="inlineStr">
        <is>
          <t>Dashboard → Ajustes → Métodos de envío → condición «Territorios de España y pedido mínimo»</t>
        </is>
      </c>
      <c r="L39" s="26" t="inlineStr">
        <is>
          <t>Confirmar también la mención de exención que imprime la factura (fila siguiente).</t>
        </is>
      </c>
    </row>
    <row r="40" ht="36" customHeight="1">
      <c r="A40" s="26" t="n">
        <v>35</v>
      </c>
      <c r="B40" s="26" t="inlineStr">
        <is>
          <t>Facturación y fiscalidad</t>
        </is>
      </c>
      <c r="C40" s="27" t="inlineStr">
        <is>
          <t>Mención de exención en facturas a Canarias, Ceuta y Melilla</t>
        </is>
      </c>
      <c r="D40" s="26" t="inlineStr">
        <is>
          <t>Las facturas con líneas al 0 % imprimen: «Operación exenta de IVA (art. 21 de la Ley 37/1992): entrega de bienes con destino a Canarias, Ceuta o Melilla».</t>
        </is>
      </c>
      <c r="E40" s="26" t="inlineStr">
        <is>
          <t>Texto confirmado o corregido</t>
        </is>
      </c>
      <c r="F40" s="30" t="inlineStr">
        <is>
          <t>Importante</t>
        </is>
      </c>
      <c r="G40" s="26" t="inlineStr">
        <is>
          <t>Texto provisional</t>
        </is>
      </c>
      <c r="H40" s="26" t="inlineStr">
        <is>
          <t>Gestoría / asesor fiscal</t>
        </is>
      </c>
      <c r="I40" s="29" t="n"/>
      <c r="J40" s="29" t="inlineStr">
        <is>
          <t>Pendiente</t>
        </is>
      </c>
      <c r="K40" s="26" t="inlineStr">
        <is>
          <t>apps/server/src/plugins/invoicing/invoice-pdf.generator.ts</t>
        </is>
      </c>
      <c r="L40" s="26" t="inlineStr"/>
    </row>
    <row r="41" ht="48" customHeight="1">
      <c r="A41" s="26" t="n">
        <v>36</v>
      </c>
      <c r="B41" s="26" t="inlineStr">
        <is>
          <t>Facturación y fiscalidad</t>
        </is>
      </c>
      <c r="C41" s="27" t="inlineStr">
        <is>
          <t>Veri*Factu (sistema de facturación verificable)</t>
        </is>
      </c>
      <c r="D41" s="26" t="inlineStr">
        <is>
          <t>Punto de enganche listo: cada factura se entrega a un «proveedor fiscal», y su QR y leyenda se imprimen en el PDF. Falta elegir cómo certificarse (proveedor homologado con API o software propio) y escribir el adaptador.</t>
        </is>
      </c>
      <c r="E41" s="26" t="inlineStr">
        <is>
          <t>Proveedor elegido + credenciales de su API</t>
        </is>
      </c>
      <c r="F41" s="28" t="inlineStr">
        <is>
          <t>Crítico</t>
        </is>
      </c>
      <c r="G41" s="26" t="inlineStr">
        <is>
          <t>Enganche preparado, sin proveedor</t>
        </is>
      </c>
      <c r="H41" s="26" t="inlineStr">
        <is>
          <t>Gestoría / asesor fiscal</t>
        </is>
      </c>
      <c r="I41" s="29" t="n"/>
      <c r="J41" s="29" t="inlineStr">
        <is>
          <t>Pendiente</t>
        </is>
      </c>
      <c r="K41" s="26" t="inlineStr">
        <is>
          <t>apps/server/src/plugins/invoicing/types.ts (FiscalRegistrationProvider) + vendure-config.ts</t>
        </is>
      </c>
      <c r="L41" s="26" t="inlineStr">
        <is>
          <t>Desarrollo pequeño una vez elegido el proveedor. Obligatorio previsiblemente en 2027: confirmar fechas.</t>
        </is>
      </c>
    </row>
    <row r="42" ht="48" customHeight="1">
      <c r="A42" s="26" t="n">
        <v>37</v>
      </c>
      <c r="B42" s="26" t="inlineStr">
        <is>
          <t>Facturación y fiscalidad</t>
        </is>
      </c>
      <c r="C42" s="27" t="inlineStr">
        <is>
          <t>Facturas rectificativas en devoluciones</t>
        </is>
      </c>
      <c r="D42" s="26" t="inlineStr">
        <is>
          <t>Implementado: al liquidar un reembolso se emite sola una factura rectificativa (serie R, importes negativos, por diferencias, con la factura que rectifica y el motivo) y se envía por email.</t>
        </is>
      </c>
      <c r="E42" s="26" t="inlineStr">
        <is>
          <t>Visto bueno de la gestoría al formato</t>
        </is>
      </c>
      <c r="F42" s="30" t="inlineStr">
        <is>
          <t>Importante</t>
        </is>
      </c>
      <c r="G42" s="26" t="inlineStr">
        <is>
          <t>Implementado</t>
        </is>
      </c>
      <c r="H42" s="26" t="inlineStr">
        <is>
          <t>Gestoría / asesor fiscal</t>
        </is>
      </c>
      <c r="I42" s="29" t="n"/>
      <c r="J42" s="29" t="inlineStr">
        <is>
          <t>Pendiente</t>
        </is>
      </c>
      <c r="K42" s="26" t="inlineStr">
        <is>
          <t>apps/server/src/plugins/invoicing (rectificativas)</t>
        </is>
      </c>
      <c r="L42" s="26" t="inlineStr">
        <is>
          <t>Con Redsys: reembolsar en el panel del banco y pulsar «Liquidar» en el reembolso del pedido.</t>
        </is>
      </c>
    </row>
    <row r="43" ht="30" customHeight="1">
      <c r="A43" s="26" t="n">
        <v>38</v>
      </c>
      <c r="B43" s="26" t="inlineStr">
        <is>
          <t>Facturación y fiscalidad</t>
        </is>
      </c>
      <c r="C43" s="27" t="inlineStr">
        <is>
          <t>NIF del cliente en la factura</t>
        </is>
      </c>
      <c r="D43" s="26" t="inlineStr">
        <is>
          <t>Hoy no se pide el NIF del comprador. Puede ser necesario para clientes empresa (factura completa).</t>
        </is>
      </c>
      <c r="E43" s="26" t="inlineStr">
        <is>
          <t>Necesario solo para empresas / no necesario</t>
        </is>
      </c>
      <c r="F43" s="30" t="inlineStr">
        <is>
          <t>Importante</t>
        </is>
      </c>
      <c r="G43" s="26" t="inlineStr">
        <is>
          <t>No se pide</t>
        </is>
      </c>
      <c r="H43" s="26" t="inlineStr">
        <is>
          <t>Gestoría / asesor fiscal</t>
        </is>
      </c>
      <c r="I43" s="29" t="n"/>
      <c r="J43" s="29" t="inlineStr">
        <is>
          <t>Pendiente</t>
        </is>
      </c>
      <c r="K43" s="26" t="inlineStr">
        <is>
          <t>Checkout + facturación (requiere desarrollo)</t>
        </is>
      </c>
      <c r="L43" s="26" t="inlineStr"/>
    </row>
    <row r="44" ht="30" customHeight="1">
      <c r="A44" s="26" t="n">
        <v>39</v>
      </c>
      <c r="B44" s="26" t="inlineStr">
        <is>
          <t>Facturación y fiscalidad</t>
        </is>
      </c>
      <c r="C44" s="27" t="inlineStr">
        <is>
          <t>Numeración de las facturas</t>
        </is>
      </c>
      <c r="D44" s="26" t="inlineStr">
        <is>
          <t>Serie única «A» con numeración continua (A-000001, A-000002…). Confirmar si vale o se quiere numeración por año.</t>
        </is>
      </c>
      <c r="E44" s="26" t="inlineStr">
        <is>
          <t>Serie A continua / A-2026-0001 …</t>
        </is>
      </c>
      <c r="F44" s="30" t="inlineStr">
        <is>
          <t>Importante</t>
        </is>
      </c>
      <c r="G44" s="26" t="inlineStr">
        <is>
          <t>A-000001 continua</t>
        </is>
      </c>
      <c r="H44" s="26" t="inlineStr">
        <is>
          <t>Gestoría / asesor fiscal</t>
        </is>
      </c>
      <c r="I44" s="29" t="n"/>
      <c r="J44" s="29" t="inlineStr">
        <is>
          <t>Pendiente</t>
        </is>
      </c>
      <c r="K44" s="26" t="inlineStr">
        <is>
          <t>apps/server/src/plugins/invoicing/constants.ts</t>
        </is>
      </c>
      <c r="L44" s="26" t="inlineStr"/>
    </row>
    <row r="45" ht="20" customHeight="1">
      <c r="A45" s="24" t="n"/>
      <c r="B45" s="25" t="inlineStr">
        <is>
          <t>D. Dominios, servidor y despliegue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 ht="30" customHeight="1">
      <c r="A46" s="26" t="n">
        <v>40</v>
      </c>
      <c r="B46" s="26" t="inlineStr">
        <is>
          <t>Dominios, servidor y despliegue</t>
        </is>
      </c>
      <c r="C46" s="27" t="inlineStr">
        <is>
          <t>Dominio de la tienda</t>
        </is>
      </c>
      <c r="D46" s="26" t="inlineStr">
        <is>
          <t>Dirección pública de la tienda. De ella salen varias variables.</t>
        </is>
      </c>
      <c r="E46" s="26" t="inlineStr">
        <is>
          <t>ironsavage.es</t>
        </is>
      </c>
      <c r="F46" s="28" t="inlineStr">
        <is>
          <t>Crítico</t>
        </is>
      </c>
      <c r="G46" s="26" t="inlineStr">
        <is>
          <t>tienda.example.com</t>
        </is>
      </c>
      <c r="H46" s="26" t="inlineStr">
        <is>
          <t>Cliente</t>
        </is>
      </c>
      <c r="I46" s="29" t="n"/>
      <c r="J46" s="29" t="inlineStr">
        <is>
          <t>Pendiente</t>
        </is>
      </c>
      <c r="K46" s="26" t="inlineStr">
        <is>
          <t>.env.prod → PUBLIC_DOMAIN, NEXT_PUBLIC_SITE_URL, STOREFRONT_URL, CORS_ORIGIN</t>
        </is>
      </c>
      <c r="L46" s="26" t="inlineStr">
        <is>
          <t>Debe apuntar (DNS A/AAAA) a la IP del servidor antes de arrancar.</t>
        </is>
      </c>
    </row>
    <row r="47" ht="30" customHeight="1">
      <c r="A47" s="26" t="n">
        <v>41</v>
      </c>
      <c r="B47" s="26" t="inlineStr">
        <is>
          <t>Dominios, servidor y despliegue</t>
        </is>
      </c>
      <c r="C47" s="27" t="inlineStr">
        <is>
          <t>Subdominio del panel/API</t>
        </is>
      </c>
      <c r="D47" s="26" t="inlineStr">
        <is>
          <t>Subdominio para el panel de administración, la API y las imágenes.</t>
        </is>
      </c>
      <c r="E47" s="26" t="inlineStr">
        <is>
          <t>api.ironsavage.es</t>
        </is>
      </c>
      <c r="F47" s="28" t="inlineStr">
        <is>
          <t>Crítico</t>
        </is>
      </c>
      <c r="G47" s="26" t="inlineStr">
        <is>
          <t>api.tienda.example.com</t>
        </is>
      </c>
      <c r="H47" s="26" t="inlineStr">
        <is>
          <t>Cliente</t>
        </is>
      </c>
      <c r="I47" s="29" t="n"/>
      <c r="J47" s="29" t="inlineStr">
        <is>
          <t>Pendiente</t>
        </is>
      </c>
      <c r="K47" s="26" t="inlineStr">
        <is>
          <t>.env.prod → API_DOMAIN, ASSET_URL_PREFIX, REDSYS_NOTIFICATION_URL</t>
        </is>
      </c>
      <c r="L47" s="26" t="inlineStr"/>
    </row>
    <row r="48" ht="30" customHeight="1">
      <c r="A48" s="26" t="n">
        <v>42</v>
      </c>
      <c r="B48" s="26" t="inlineStr">
        <is>
          <t>Dominios, servidor y despliegue</t>
        </is>
      </c>
      <c r="C48" s="27" t="inlineStr">
        <is>
          <t>Acceso al panel DNS del dominio</t>
        </is>
      </c>
      <c r="D48" s="26" t="inlineStr">
        <is>
          <t>Para crear los registros del dominio (servidor y correo).</t>
        </is>
      </c>
      <c r="E48" s="26" t="inlineStr">
        <is>
          <t>Usuario de acceso o persona de contacto</t>
        </is>
      </c>
      <c r="F48" s="28" t="inlineStr">
        <is>
          <t>Crítico</t>
        </is>
      </c>
      <c r="G48" s="26" t="inlineStr">
        <is>
          <t>—</t>
        </is>
      </c>
      <c r="H48" s="26" t="inlineStr">
        <is>
          <t>Cliente</t>
        </is>
      </c>
      <c r="I48" s="29" t="n"/>
      <c r="J48" s="29" t="inlineStr">
        <is>
          <t>Pendiente</t>
        </is>
      </c>
      <c r="K48" s="26" t="inlineStr">
        <is>
          <t>(proveedor del dominio)</t>
        </is>
      </c>
      <c r="L48" s="26" t="inlineStr"/>
    </row>
    <row r="49" ht="30" customHeight="1">
      <c r="A49" s="26" t="n">
        <v>43</v>
      </c>
      <c r="B49" s="26" t="inlineStr">
        <is>
          <t>Dominios, servidor y despliegue</t>
        </is>
      </c>
      <c r="C49" s="27" t="inlineStr">
        <is>
          <t>Servidor (hosting)</t>
        </is>
      </c>
      <c r="D49" s="26" t="inlineStr">
        <is>
          <t>VPS con Docker. Ver requisitos y proveedores orientativos en la hoja «Hosting».</t>
        </is>
      </c>
      <c r="E49" s="26" t="inlineStr">
        <is>
          <t>Hetzner CX32 (4 vCPU, 8 GB)</t>
        </is>
      </c>
      <c r="F49" s="28" t="inlineStr">
        <is>
          <t>Crítico</t>
        </is>
      </c>
      <c r="G49" s="26" t="inlineStr">
        <is>
          <t>Solo en local</t>
        </is>
      </c>
      <c r="H49" s="26" t="inlineStr">
        <is>
          <t>Cliente + Técnico</t>
        </is>
      </c>
      <c r="I49" s="29" t="n"/>
      <c r="J49" s="29" t="inlineStr">
        <is>
          <t>Pendiente</t>
        </is>
      </c>
      <c r="K49" s="26" t="inlineStr">
        <is>
          <t>docker-compose.prod.yml</t>
        </is>
      </c>
      <c r="L49" s="26" t="inlineStr"/>
    </row>
    <row r="50" ht="30" customHeight="1">
      <c r="A50" s="26" t="n">
        <v>44</v>
      </c>
      <c r="B50" s="26" t="inlineStr">
        <is>
          <t>Dominios, servidor y despliegue</t>
        </is>
      </c>
      <c r="C50" s="27" t="inlineStr">
        <is>
          <t>Email para los certificados HTTPS</t>
        </is>
      </c>
      <c r="D50" s="26" t="inlineStr">
        <is>
          <t>Solo para avisos de renovación del certificado (Let's Encrypt).</t>
        </is>
      </c>
      <c r="E50" s="26" t="inlineStr">
        <is>
          <t>sistemas@ironsavage.es</t>
        </is>
      </c>
      <c r="F50" s="31" t="inlineStr">
        <is>
          <t>Recomendado</t>
        </is>
      </c>
      <c r="G50" s="26" t="inlineStr">
        <is>
          <t>admin@example.com</t>
        </is>
      </c>
      <c r="H50" s="26" t="inlineStr">
        <is>
          <t>Cliente</t>
        </is>
      </c>
      <c r="I50" s="29" t="n"/>
      <c r="J50" s="29" t="inlineStr">
        <is>
          <t>Pendiente</t>
        </is>
      </c>
      <c r="K50" s="26" t="inlineStr">
        <is>
          <t>.env.prod → CADDY_EMAIL</t>
        </is>
      </c>
      <c r="L50" s="26" t="inlineStr"/>
    </row>
    <row r="51" ht="30" customHeight="1">
      <c r="A51" s="26" t="n">
        <v>45</v>
      </c>
      <c r="B51" s="26" t="inlineStr">
        <is>
          <t>Dominios, servidor y despliegue</t>
        </is>
      </c>
      <c r="C51" s="27" t="inlineStr">
        <is>
          <t>Nombre de la tienda</t>
        </is>
      </c>
      <c r="D51" s="26" t="inlineStr">
        <is>
          <t>Nombre comercial en títulos de página y metadatos.</t>
        </is>
      </c>
      <c r="E51" s="26" t="inlineStr">
        <is>
          <t>Iron Savage</t>
        </is>
      </c>
      <c r="F51" s="32" t="inlineStr">
        <is>
          <t>Informativo</t>
        </is>
      </c>
      <c r="G51" s="26" t="inlineStr">
        <is>
          <t>Iron Savage</t>
        </is>
      </c>
      <c r="H51" s="26" t="inlineStr">
        <is>
          <t>Cliente</t>
        </is>
      </c>
      <c r="I51" s="29" t="n"/>
      <c r="J51" s="29" t="inlineStr">
        <is>
          <t>Pendiente</t>
        </is>
      </c>
      <c r="K51" s="26" t="inlineStr">
        <is>
          <t>.env.prod → NEXT_PUBLIC_SITE_NAME</t>
        </is>
      </c>
      <c r="L51" s="26" t="inlineStr"/>
    </row>
    <row r="52" ht="30" customHeight="1">
      <c r="A52" s="26" t="n">
        <v>46</v>
      </c>
      <c r="B52" s="26" t="inlineStr">
        <is>
          <t>Dominios, servidor y despliegue</t>
        </is>
      </c>
      <c r="C52" s="27" t="inlineStr">
        <is>
          <t>Entorno de producción</t>
        </is>
      </c>
      <c r="D52" s="26" t="inlineStr">
        <is>
          <t>Poner en modo producción cuando todo esté listo.</t>
        </is>
      </c>
      <c r="E52" s="26" t="inlineStr">
        <is>
          <t>production</t>
        </is>
      </c>
      <c r="F52" s="28" t="inlineStr">
        <is>
          <t>Crítico</t>
        </is>
      </c>
      <c r="G52" s="26" t="inlineStr">
        <is>
          <t>test</t>
        </is>
      </c>
      <c r="H52" s="26" t="inlineStr">
        <is>
          <t>Técnico</t>
        </is>
      </c>
      <c r="I52" s="29" t="n"/>
      <c r="J52" s="29" t="inlineStr">
        <is>
          <t>Pendiente</t>
        </is>
      </c>
      <c r="K52" s="26" t="inlineStr">
        <is>
          <t>.env.prod → APP_ENV</t>
        </is>
      </c>
      <c r="L52" s="26" t="inlineStr"/>
    </row>
    <row r="53" ht="30" customHeight="1">
      <c r="A53" s="26" t="n">
        <v>47</v>
      </c>
      <c r="B53" s="26" t="inlineStr">
        <is>
          <t>Dominios, servidor y despliegue</t>
        </is>
      </c>
      <c r="C53" s="27" t="inlineStr">
        <is>
          <t>Versión de la aplicación</t>
        </is>
      </c>
      <c r="D53" s="26" t="inlineStr">
        <is>
          <t>Número que aparece en el pie de la web.</t>
        </is>
      </c>
      <c r="E53" s="26" t="inlineStr">
        <is>
          <t>1.0.0 en el lanzamiento</t>
        </is>
      </c>
      <c r="F53" s="32" t="inlineStr">
        <is>
          <t>Informativo</t>
        </is>
      </c>
      <c r="G53" s="26" t="inlineStr">
        <is>
          <t>0.1.0</t>
        </is>
      </c>
      <c r="H53" s="26" t="inlineStr">
        <is>
          <t>Técnico</t>
        </is>
      </c>
      <c r="I53" s="29" t="n"/>
      <c r="J53" s="29" t="inlineStr">
        <is>
          <t>Pendiente</t>
        </is>
      </c>
      <c r="K53" s="26" t="inlineStr">
        <is>
          <t>package.json (raíz) → version</t>
        </is>
      </c>
      <c r="L53" s="26" t="inlineStr"/>
    </row>
    <row r="54" ht="48" customHeight="1">
      <c r="A54" s="26" t="n">
        <v>48</v>
      </c>
      <c r="B54" s="26" t="inlineStr">
        <is>
          <t>Dominios, servidor y despliegue</t>
        </is>
      </c>
      <c r="C54" s="27" t="inlineStr">
        <is>
          <t>Ejecutar el seed en producción</t>
        </is>
      </c>
      <c r="D54" s="26" t="inlineStr">
        <is>
          <t>Tras el primer despliegue (y tras actualizar), ejecutar «npm run seed»: crea zonas, categorías de IVA, el método de envío y el de pago. Es idempotente y no pisa lo editado en el panel.</t>
        </is>
      </c>
      <c r="E54" s="26" t="inlineStr">
        <is>
          <t>Hecho</t>
        </is>
      </c>
      <c r="F54" s="28" t="inlineStr">
        <is>
          <t>Crítico</t>
        </is>
      </c>
      <c r="G54" s="26" t="inlineStr">
        <is>
          <t>—</t>
        </is>
      </c>
      <c r="H54" s="26" t="inlineStr">
        <is>
          <t>Técnico</t>
        </is>
      </c>
      <c r="I54" s="29" t="n"/>
      <c r="J54" s="29" t="inlineStr">
        <is>
          <t>Pendiente</t>
        </is>
      </c>
      <c r="K54" s="26" t="inlineStr">
        <is>
          <t>apps/server: npm run seed</t>
        </is>
      </c>
      <c r="L54" s="26" t="inlineStr"/>
    </row>
    <row r="55" ht="20" customHeight="1">
      <c r="A55" s="24" t="n"/>
      <c r="B55" s="25" t="inlineStr">
        <is>
          <t>E. Correo electrónico (emails automáticos)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 ht="30" customHeight="1">
      <c r="A56" s="26" t="n">
        <v>49</v>
      </c>
      <c r="B56" s="26" t="inlineStr">
        <is>
          <t>Correo electrónico (emails automáticos)</t>
        </is>
      </c>
      <c r="C56" s="27" t="inlineStr">
        <is>
          <t>Proveedor de envío (SMTP)</t>
        </is>
      </c>
      <c r="D56" s="26" t="inlineStr">
        <is>
          <t>Servicio que envía los emails de la tienda. Hoy no sale ningún email real (se guardan en archivo).</t>
        </is>
      </c>
      <c r="E56" s="26" t="inlineStr">
        <is>
          <t>Brevo / Amazon SES / Mailgun / Google Workspace</t>
        </is>
      </c>
      <c r="F56" s="28" t="inlineStr">
        <is>
          <t>Crítico</t>
        </is>
      </c>
      <c r="G56" s="26" t="inlineStr">
        <is>
          <t>EMAIL_PROVIDER=dev (no envía)</t>
        </is>
      </c>
      <c r="H56" s="26" t="inlineStr">
        <is>
          <t>Cliente + Técnico</t>
        </is>
      </c>
      <c r="I56" s="29" t="n"/>
      <c r="J56" s="29" t="inlineStr">
        <is>
          <t>Pendiente</t>
        </is>
      </c>
      <c r="K56" s="26" t="inlineStr">
        <is>
          <t>.env.prod → EMAIL_PROVIDER=smtp</t>
        </is>
      </c>
      <c r="L56" s="26" t="inlineStr">
        <is>
          <t>Recomendado un proveedor transaccional si hay volumen.</t>
        </is>
      </c>
    </row>
    <row r="57" ht="30" customHeight="1">
      <c r="A57" s="26" t="n">
        <v>50</v>
      </c>
      <c r="B57" s="26" t="inlineStr">
        <is>
          <t>Correo electrónico (emails automáticos)</t>
        </is>
      </c>
      <c r="C57" s="27" t="inlineStr">
        <is>
          <t>Servidor y puerto SMTP</t>
        </is>
      </c>
      <c r="D57" s="26" t="inlineStr">
        <is>
          <t>Los da el proveedor.</t>
        </is>
      </c>
      <c r="E57" s="26" t="inlineStr">
        <is>
          <t>smtp-relay.brevo.com · 587 · SMTP_SECURE=false</t>
        </is>
      </c>
      <c r="F57" s="28" t="inlineStr">
        <is>
          <t>Crítico</t>
        </is>
      </c>
      <c r="G57" s="26" t="inlineStr">
        <is>
          <t>(vacío)</t>
        </is>
      </c>
      <c r="H57" s="26" t="inlineStr">
        <is>
          <t>Cliente + Técnico</t>
        </is>
      </c>
      <c r="I57" s="29" t="n"/>
      <c r="J57" s="29" t="inlineStr">
        <is>
          <t>Pendiente</t>
        </is>
      </c>
      <c r="K57" s="26" t="inlineStr">
        <is>
          <t>.env.prod → SMTP_HOST, SMTP_PORT, SMTP_SECURE</t>
        </is>
      </c>
      <c r="L57" s="26" t="inlineStr"/>
    </row>
    <row r="58" ht="30" customHeight="1">
      <c r="A58" s="26" t="n">
        <v>51</v>
      </c>
      <c r="B58" s="26" t="inlineStr">
        <is>
          <t>Correo electrónico (emails automáticos)</t>
        </is>
      </c>
      <c r="C58" s="27" t="inlineStr">
        <is>
          <t>Usuario SMTP</t>
        </is>
      </c>
      <c r="D58" s="26" t="inlineStr"/>
      <c r="E58" s="26" t="inlineStr">
        <is>
          <t>usuario@ironsavage.es</t>
        </is>
      </c>
      <c r="F58" s="28" t="inlineStr">
        <is>
          <t>Crítico</t>
        </is>
      </c>
      <c r="G58" s="26" t="inlineStr">
        <is>
          <t>(vacío)</t>
        </is>
      </c>
      <c r="H58" s="26" t="inlineStr">
        <is>
          <t>Cliente</t>
        </is>
      </c>
      <c r="I58" s="29" t="n"/>
      <c r="J58" s="29" t="inlineStr">
        <is>
          <t>Pendiente</t>
        </is>
      </c>
      <c r="K58" s="26" t="inlineStr">
        <is>
          <t>.env.prod → SMTP_USER</t>
        </is>
      </c>
      <c r="L58" s="26" t="inlineStr"/>
    </row>
    <row r="59" ht="30" customHeight="1">
      <c r="A59" s="26" t="n">
        <v>52</v>
      </c>
      <c r="B59" s="26" t="inlineStr">
        <is>
          <t>Correo electrónico (emails automáticos)</t>
        </is>
      </c>
      <c r="C59" s="27" t="inlineStr">
        <is>
          <t>Contraseña o clave API SMTP</t>
        </is>
      </c>
      <c r="D59" s="26" t="inlineStr">
        <is>
          <t>Dato confidencial: entregar por un canal seguro, nunca por email.</t>
        </is>
      </c>
      <c r="E59" s="26" t="inlineStr">
        <is>
          <t>••••••••</t>
        </is>
      </c>
      <c r="F59" s="28" t="inlineStr">
        <is>
          <t>Crítico</t>
        </is>
      </c>
      <c r="G59" s="26" t="inlineStr">
        <is>
          <t>(vacío)</t>
        </is>
      </c>
      <c r="H59" s="26" t="inlineStr">
        <is>
          <t>Cliente</t>
        </is>
      </c>
      <c r="I59" s="29" t="n"/>
      <c r="J59" s="29" t="inlineStr">
        <is>
          <t>Pendiente</t>
        </is>
      </c>
      <c r="K59" s="26" t="inlineStr">
        <is>
          <t>.env.prod → SMTP_PASSWORD</t>
        </is>
      </c>
      <c r="L59" s="26" t="inlineStr">
        <is>
          <t>Confidencial.</t>
        </is>
      </c>
    </row>
    <row r="60" ht="30" customHeight="1">
      <c r="A60" s="26" t="n">
        <v>53</v>
      </c>
      <c r="B60" s="26" t="inlineStr">
        <is>
          <t>Correo electrónico (emails automáticos)</t>
        </is>
      </c>
      <c r="C60" s="27" t="inlineStr">
        <is>
          <t>Remitente que verá el cliente</t>
        </is>
      </c>
      <c r="D60" s="26" t="inlineStr">
        <is>
          <t>Nombre y dirección desde la que salen los emails.</t>
        </is>
      </c>
      <c r="E60" s="26" t="inlineStr">
        <is>
          <t>Iron Savage &lt;pedidos@ironsavage.es&gt;</t>
        </is>
      </c>
      <c r="F60" s="28" t="inlineStr">
        <is>
          <t>Crítico</t>
        </is>
      </c>
      <c r="G60" s="26" t="inlineStr">
        <is>
          <t>Iron Savage &lt;no-reply@example.com&gt;</t>
        </is>
      </c>
      <c r="H60" s="26" t="inlineStr">
        <is>
          <t>Cliente</t>
        </is>
      </c>
      <c r="I60" s="29" t="n"/>
      <c r="J60" s="29" t="inlineStr">
        <is>
          <t>Pendiente</t>
        </is>
      </c>
      <c r="K60" s="26" t="inlineStr">
        <is>
          <t>.env.prod → EMAIL_FROM</t>
        </is>
      </c>
      <c r="L60" s="26" t="inlineStr">
        <is>
          <t>El dominio debe ser el mismo que el configurado en SPF/DKIM.</t>
        </is>
      </c>
    </row>
    <row r="61" ht="30" customHeight="1">
      <c r="A61" s="26" t="n">
        <v>54</v>
      </c>
      <c r="B61" s="26" t="inlineStr">
        <is>
          <t>Correo electrónico (emails automáticos)</t>
        </is>
      </c>
      <c r="C61" s="27" t="inlineStr">
        <is>
          <t>Nombre comercial en los emails</t>
        </is>
      </c>
      <c r="D61" s="26" t="inlineStr">
        <is>
          <t>Nombre que aparece en asuntos, saludo y pie («Bienvenido/a a …»). Si se deja vacío, se usa la razón social.</t>
        </is>
      </c>
      <c r="E61" s="26" t="inlineStr">
        <is>
          <t>Iron Savage</t>
        </is>
      </c>
      <c r="F61" s="30" t="inlineStr">
        <is>
          <t>Importante</t>
        </is>
      </c>
      <c r="G61" s="26" t="inlineStr">
        <is>
          <t>Iron Savage</t>
        </is>
      </c>
      <c r="H61" s="26" t="inlineStr">
        <is>
          <t>Cliente</t>
        </is>
      </c>
      <c r="I61" s="29" t="n"/>
      <c r="J61" s="29" t="inlineStr">
        <is>
          <t>Pendiente</t>
        </is>
      </c>
      <c r="K61" s="26" t="inlineStr">
        <is>
          <t>.env.prod → EMAIL_STORE_NAME</t>
        </is>
      </c>
      <c r="L61" s="26" t="inlineStr"/>
    </row>
    <row r="62" ht="30" customHeight="1">
      <c r="A62" s="26" t="n">
        <v>55</v>
      </c>
      <c r="B62" s="26" t="inlineStr">
        <is>
          <t>Correo electrónico (emails automáticos)</t>
        </is>
      </c>
      <c r="C62" s="27" t="inlineStr">
        <is>
          <t>Email de «responder a»</t>
        </is>
      </c>
      <c r="D62" s="26" t="inlineStr">
        <is>
          <t>Donde llegan las respuestas si el cliente contesta a un email automático.</t>
        </is>
      </c>
      <c r="E62" s="26" t="inlineStr">
        <is>
          <t>hola@ironsavage.es</t>
        </is>
      </c>
      <c r="F62" s="30" t="inlineStr">
        <is>
          <t>Importante</t>
        </is>
      </c>
      <c r="G62" s="26" t="inlineStr">
        <is>
          <t>soporte@example.com</t>
        </is>
      </c>
      <c r="H62" s="26" t="inlineStr">
        <is>
          <t>Cliente</t>
        </is>
      </c>
      <c r="I62" s="29" t="n"/>
      <c r="J62" s="29" t="inlineStr">
        <is>
          <t>Pendiente</t>
        </is>
      </c>
      <c r="K62" s="26" t="inlineStr">
        <is>
          <t>.env.prod → EMAIL_REPLY_TO</t>
        </is>
      </c>
      <c r="L62" s="26" t="inlineStr"/>
    </row>
    <row r="63" ht="30" customHeight="1">
      <c r="A63" s="26" t="n">
        <v>56</v>
      </c>
      <c r="B63" s="26" t="inlineStr">
        <is>
          <t>Correo electrónico (emails automáticos)</t>
        </is>
      </c>
      <c r="C63" s="27" t="inlineStr">
        <is>
          <t>Registros SPF, DKIM y DMARC</t>
        </is>
      </c>
      <c r="D63" s="26" t="inlineStr">
        <is>
          <t>Para que los emails no acaben en spam. El proveedor de email da los valores y se añaden al DNS del dominio.</t>
        </is>
      </c>
      <c r="E63" s="26" t="inlineStr">
        <is>
          <t>Registros TXT añadidos y verificados</t>
        </is>
      </c>
      <c r="F63" s="30" t="inlineStr">
        <is>
          <t>Importante</t>
        </is>
      </c>
      <c r="G63" s="26" t="inlineStr">
        <is>
          <t>No configurado</t>
        </is>
      </c>
      <c r="H63" s="26" t="inlineStr">
        <is>
          <t>Cliente + Técnico</t>
        </is>
      </c>
      <c r="I63" s="29" t="n"/>
      <c r="J63" s="29" t="inlineStr">
        <is>
          <t>Pendiente</t>
        </is>
      </c>
      <c r="K63" s="26" t="inlineStr">
        <is>
          <t>(DNS del dominio)</t>
        </is>
      </c>
      <c r="L63" s="26" t="inlineStr"/>
    </row>
    <row r="64" ht="30" customHeight="1">
      <c r="A64" s="26" t="n">
        <v>57</v>
      </c>
      <c r="B64" s="26" t="inlineStr">
        <is>
          <t>Correo electrónico (emails automáticos)</t>
        </is>
      </c>
      <c r="C64" s="27" t="inlineStr">
        <is>
          <t>Textos de los emails</t>
        </is>
      </c>
      <c r="D64" s="26" t="inlineStr">
        <is>
          <t>Asuntos y frases de cada email automático: ver la hoja «Textos de emails».</t>
        </is>
      </c>
      <c r="E64" s="26" t="inlineStr">
        <is>
          <t>Ver hoja</t>
        </is>
      </c>
      <c r="F64" s="30" t="inlineStr">
        <is>
          <t>Importante</t>
        </is>
      </c>
      <c r="G64" s="26" t="inlineStr">
        <is>
          <t>Textos genéricos</t>
        </is>
      </c>
      <c r="H64" s="26" t="inlineStr">
        <is>
          <t>Cliente</t>
        </is>
      </c>
      <c r="I64" s="29" t="n"/>
      <c r="J64" s="29" t="inlineStr">
        <is>
          <t>Pendiente</t>
        </is>
      </c>
      <c r="K64" s="26" t="inlineStr">
        <is>
          <t>apps/server/src/plugins/transactional-email/templates/</t>
        </is>
      </c>
      <c r="L64" s="26" t="inlineStr"/>
    </row>
    <row r="65" ht="20" customHeight="1">
      <c r="A65" s="24" t="n"/>
      <c r="B65" s="25" t="inlineStr">
        <is>
          <t>F. Pagos con tarjeta (Redsys)</t>
        </is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</row>
    <row r="66" ht="30" customHeight="1">
      <c r="A66" s="26" t="n">
        <v>58</v>
      </c>
      <c r="B66" s="26" t="inlineStr">
        <is>
          <t>Pagos con tarjeta (Redsys)</t>
        </is>
      </c>
      <c r="C66" s="27" t="inlineStr">
        <is>
          <t>Contrato de TPV Virtual con el banco</t>
        </is>
      </c>
      <c r="D66" s="26" t="inlineStr">
        <is>
          <t>Sin él no se pueden cobrar pagos reales.</t>
        </is>
      </c>
      <c r="E66" s="26" t="inlineStr">
        <is>
          <t>TPV contratado con CaixaBank (fecha)</t>
        </is>
      </c>
      <c r="F66" s="28" t="inlineStr">
        <is>
          <t>Crítico</t>
        </is>
      </c>
      <c r="G66" s="26" t="inlineStr">
        <is>
          <t>Credenciales públicas de pruebas de Redsys</t>
        </is>
      </c>
      <c r="H66" s="26" t="inlineStr">
        <is>
          <t>Banco</t>
        </is>
      </c>
      <c r="I66" s="29" t="n"/>
      <c r="J66" s="29" t="inlineStr">
        <is>
          <t>Pendiente</t>
        </is>
      </c>
      <c r="K66" s="26" t="inlineStr">
        <is>
          <t>—</t>
        </is>
      </c>
      <c r="L66" s="26" t="inlineStr"/>
    </row>
    <row r="67" ht="30" customHeight="1">
      <c r="A67" s="26" t="n">
        <v>59</v>
      </c>
      <c r="B67" s="26" t="inlineStr">
        <is>
          <t>Pagos con tarjeta (Redsys)</t>
        </is>
      </c>
      <c r="C67" s="27" t="inlineStr">
        <is>
          <t>Código de comercio (FUC)</t>
        </is>
      </c>
      <c r="D67" s="26" t="inlineStr">
        <is>
          <t>Lo da el banco.</t>
        </is>
      </c>
      <c r="E67" s="26" t="inlineStr">
        <is>
          <t>123456789</t>
        </is>
      </c>
      <c r="F67" s="28" t="inlineStr">
        <is>
          <t>Crítico</t>
        </is>
      </c>
      <c r="G67" s="26" t="inlineStr">
        <is>
          <t>999008881 (pruebas)</t>
        </is>
      </c>
      <c r="H67" s="26" t="inlineStr">
        <is>
          <t>Banco</t>
        </is>
      </c>
      <c r="I67" s="29" t="n"/>
      <c r="J67" s="29" t="inlineStr">
        <is>
          <t>Pendiente</t>
        </is>
      </c>
      <c r="K67" s="26" t="inlineStr">
        <is>
          <t>.env.prod → REDSYS_MERCHANT_CODE</t>
        </is>
      </c>
      <c r="L67" s="26" t="inlineStr"/>
    </row>
    <row r="68" ht="30" customHeight="1">
      <c r="A68" s="26" t="n">
        <v>60</v>
      </c>
      <c r="B68" s="26" t="inlineStr">
        <is>
          <t>Pagos con tarjeta (Redsys)</t>
        </is>
      </c>
      <c r="C68" s="27" t="inlineStr">
        <is>
          <t>Número de terminal</t>
        </is>
      </c>
      <c r="D68" s="26" t="inlineStr">
        <is>
          <t>Lo da el banco.</t>
        </is>
      </c>
      <c r="E68" s="26" t="inlineStr">
        <is>
          <t>1</t>
        </is>
      </c>
      <c r="F68" s="28" t="inlineStr">
        <is>
          <t>Crítico</t>
        </is>
      </c>
      <c r="G68" s="26" t="inlineStr">
        <is>
          <t>1 (pruebas)</t>
        </is>
      </c>
      <c r="H68" s="26" t="inlineStr">
        <is>
          <t>Banco</t>
        </is>
      </c>
      <c r="I68" s="29" t="n"/>
      <c r="J68" s="29" t="inlineStr">
        <is>
          <t>Pendiente</t>
        </is>
      </c>
      <c r="K68" s="26" t="inlineStr">
        <is>
          <t>.env.prod → REDSYS_TERMINAL</t>
        </is>
      </c>
      <c r="L68" s="26" t="inlineStr"/>
    </row>
    <row r="69" ht="30" customHeight="1">
      <c r="A69" s="26" t="n">
        <v>61</v>
      </c>
      <c r="B69" s="26" t="inlineStr">
        <is>
          <t>Pagos con tarjeta (Redsys)</t>
        </is>
      </c>
      <c r="C69" s="27" t="inlineStr">
        <is>
          <t>Clave secreta SHA-256</t>
        </is>
      </c>
      <c r="D69" s="26" t="inlineStr">
        <is>
          <t>Se obtiene en el panel de Redsys del banco. Confidencial.</t>
        </is>
      </c>
      <c r="E69" s="26" t="inlineStr">
        <is>
          <t>••••••••</t>
        </is>
      </c>
      <c r="F69" s="28" t="inlineStr">
        <is>
          <t>Crítico</t>
        </is>
      </c>
      <c r="G69" s="26" t="inlineStr">
        <is>
          <t>Clave pública de pruebas</t>
        </is>
      </c>
      <c r="H69" s="26" t="inlineStr">
        <is>
          <t>Banco</t>
        </is>
      </c>
      <c r="I69" s="29" t="n"/>
      <c r="J69" s="29" t="inlineStr">
        <is>
          <t>Pendiente</t>
        </is>
      </c>
      <c r="K69" s="26" t="inlineStr">
        <is>
          <t>.env.prod → REDSYS_SECRET_KEY</t>
        </is>
      </c>
      <c r="L69" s="26" t="inlineStr">
        <is>
          <t>Confidencial.</t>
        </is>
      </c>
    </row>
    <row r="70" ht="30" customHeight="1">
      <c r="A70" s="26" t="n">
        <v>62</v>
      </c>
      <c r="B70" s="26" t="inlineStr">
        <is>
          <t>Pagos con tarjeta (Redsys)</t>
        </is>
      </c>
      <c r="C70" s="27" t="inlineStr">
        <is>
          <t>Modo «Conexión por Redirección»</t>
        </is>
      </c>
      <c r="D70" s="26" t="inlineStr">
        <is>
          <t>Confirmar con el banco que el terminal admite este método (es el que usa la tienda).</t>
        </is>
      </c>
      <c r="E70" s="26" t="inlineStr">
        <is>
          <t>Confirmado por el banco</t>
        </is>
      </c>
      <c r="F70" s="30" t="inlineStr">
        <is>
          <t>Importante</t>
        </is>
      </c>
      <c r="G70" s="26" t="inlineStr">
        <is>
          <t>—</t>
        </is>
      </c>
      <c r="H70" s="26" t="inlineStr">
        <is>
          <t>Banco</t>
        </is>
      </c>
      <c r="I70" s="29" t="n"/>
      <c r="J70" s="29" t="inlineStr">
        <is>
          <t>Pendiente</t>
        </is>
      </c>
      <c r="K70" s="26" t="inlineStr">
        <is>
          <t>—</t>
        </is>
      </c>
      <c r="L70" s="26" t="inlineStr"/>
    </row>
    <row r="71" ht="30" customHeight="1">
      <c r="A71" s="26" t="n">
        <v>63</v>
      </c>
      <c r="B71" s="26" t="inlineStr">
        <is>
          <t>Pagos con tarjeta (Redsys)</t>
        </is>
      </c>
      <c r="C71" s="27" t="inlineStr">
        <is>
          <t>Pasar Redsys a producción</t>
        </is>
      </c>
      <c r="D71" s="26" t="inlineStr">
        <is>
          <t>Cuando todo esté probado con una compra real.</t>
        </is>
      </c>
      <c r="E71" s="26" t="inlineStr">
        <is>
          <t>production</t>
        </is>
      </c>
      <c r="F71" s="28" t="inlineStr">
        <is>
          <t>Crítico</t>
        </is>
      </c>
      <c r="G71" s="26" t="inlineStr">
        <is>
          <t>test</t>
        </is>
      </c>
      <c r="H71" s="26" t="inlineStr">
        <is>
          <t>Técnico</t>
        </is>
      </c>
      <c r="I71" s="29" t="n"/>
      <c r="J71" s="29" t="inlineStr">
        <is>
          <t>Pendiente</t>
        </is>
      </c>
      <c r="K71" s="26" t="inlineStr">
        <is>
          <t>.env.prod → REDSYS_ENVIRONMENT</t>
        </is>
      </c>
      <c r="L71" s="26" t="inlineStr"/>
    </row>
    <row r="72" ht="20" customHeight="1">
      <c r="A72" s="24" t="n"/>
      <c r="B72" s="25" t="inlineStr">
        <is>
          <t>G. Accesos y claves internas</t>
        </is>
      </c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</row>
    <row r="73" ht="30" customHeight="1">
      <c r="A73" s="26" t="n">
        <v>64</v>
      </c>
      <c r="B73" s="26" t="inlineStr">
        <is>
          <t>Accesos y claves internas</t>
        </is>
      </c>
      <c r="C73" s="27" t="inlineStr">
        <is>
          <t>Usuario del superadministrador</t>
        </is>
      </c>
      <c r="D73" s="26" t="inlineStr">
        <is>
          <t>Usuario principal del panel de administración.</t>
        </is>
      </c>
      <c r="E73" s="26" t="inlineStr">
        <is>
          <t>admin.ironsavage</t>
        </is>
      </c>
      <c r="F73" s="28" t="inlineStr">
        <is>
          <t>Crítico</t>
        </is>
      </c>
      <c r="G73" s="26" t="inlineStr">
        <is>
          <t>superadmin</t>
        </is>
      </c>
      <c r="H73" s="26" t="inlineStr">
        <is>
          <t>Cliente</t>
        </is>
      </c>
      <c r="I73" s="29" t="n"/>
      <c r="J73" s="29" t="inlineStr">
        <is>
          <t>Pendiente</t>
        </is>
      </c>
      <c r="K73" s="26" t="inlineStr">
        <is>
          <t>.env.prod → SUPERADMIN_USERNAME</t>
        </is>
      </c>
      <c r="L73" s="26" t="inlineStr"/>
    </row>
    <row r="74" ht="30" customHeight="1">
      <c r="A74" s="26" t="n">
        <v>65</v>
      </c>
      <c r="B74" s="26" t="inlineStr">
        <is>
          <t>Accesos y claves internas</t>
        </is>
      </c>
      <c r="C74" s="27" t="inlineStr">
        <is>
          <t>Contraseña del superadministrador</t>
        </is>
      </c>
      <c r="D74" s="26" t="inlineStr">
        <is>
          <t>Contraseña fuerte y única. Confidencial.</t>
        </is>
      </c>
      <c r="E74" s="26" t="inlineStr">
        <is>
          <t>••••••••</t>
        </is>
      </c>
      <c r="F74" s="28" t="inlineStr">
        <is>
          <t>Crítico</t>
        </is>
      </c>
      <c r="G74" s="26" t="inlineStr">
        <is>
          <t>superadmin (solo pruebas)</t>
        </is>
      </c>
      <c r="H74" s="26" t="inlineStr">
        <is>
          <t>Cliente</t>
        </is>
      </c>
      <c r="I74" s="29" t="n"/>
      <c r="J74" s="29" t="inlineStr">
        <is>
          <t>Pendiente</t>
        </is>
      </c>
      <c r="K74" s="26" t="inlineStr">
        <is>
          <t>.env.prod → SUPERADMIN_PASSWORD</t>
        </is>
      </c>
      <c r="L74" s="26" t="inlineStr">
        <is>
          <t>Confidencial.</t>
        </is>
      </c>
    </row>
    <row r="75" ht="30" customHeight="1">
      <c r="A75" s="26" t="n">
        <v>66</v>
      </c>
      <c r="B75" s="26" t="inlineStr">
        <is>
          <t>Accesos y claves internas</t>
        </is>
      </c>
      <c r="C75" s="27" t="inlineStr">
        <is>
          <t>Otras personas con acceso al panel</t>
        </is>
      </c>
      <c r="D75" s="26" t="inlineStr">
        <is>
          <t>Empleados, almacén, gestoría… con permisos limitados.</t>
        </is>
      </c>
      <c r="E75" s="26" t="inlineStr">
        <is>
          <t>Almacén: solo pedidos; Gestoría: solo facturas</t>
        </is>
      </c>
      <c r="F75" s="31" t="inlineStr">
        <is>
          <t>Recomendado</t>
        </is>
      </c>
      <c r="G75" s="26" t="inlineStr">
        <is>
          <t>Solo 1 superadmin</t>
        </is>
      </c>
      <c r="H75" s="26" t="inlineStr">
        <is>
          <t>Cliente</t>
        </is>
      </c>
      <c r="I75" s="29" t="n"/>
      <c r="J75" s="29" t="inlineStr">
        <is>
          <t>Pendiente</t>
        </is>
      </c>
      <c r="K75" s="26" t="inlineStr">
        <is>
          <t>Dashboard → Ajustes → Administradores</t>
        </is>
      </c>
      <c r="L75" s="26" t="inlineStr"/>
    </row>
    <row r="76" ht="30" customHeight="1">
      <c r="A76" s="26" t="n">
        <v>67</v>
      </c>
      <c r="B76" s="26" t="inlineStr">
        <is>
          <t>Accesos y claves internas</t>
        </is>
      </c>
      <c r="C76" s="27" t="inlineStr">
        <is>
          <t>Claves técnicas internas</t>
        </is>
      </c>
      <c r="D76" s="26" t="inlineStr">
        <is>
          <t>Se generan automáticamente al desplegar; el cliente no tiene que aportar nada.</t>
        </is>
      </c>
      <c r="E76" s="26" t="inlineStr">
        <is>
          <t>—</t>
        </is>
      </c>
      <c r="F76" s="32" t="inlineStr">
        <is>
          <t>Informativo</t>
        </is>
      </c>
      <c r="G76" s="26" t="inlineStr">
        <is>
          <t>replace-with-…</t>
        </is>
      </c>
      <c r="H76" s="26" t="inlineStr">
        <is>
          <t>Técnico</t>
        </is>
      </c>
      <c r="I76" s="29" t="n"/>
      <c r="J76" s="29" t="inlineStr">
        <is>
          <t>Pendiente</t>
        </is>
      </c>
      <c r="K76" s="26" t="inlineStr">
        <is>
          <t>.env.prod → COOKIE_SECRET, DB_PASSWORD, REVALIDATION_SECRET</t>
        </is>
      </c>
      <c r="L76" s="26" t="inlineStr"/>
    </row>
    <row r="77" ht="20" customHeight="1">
      <c r="A77" s="24" t="n"/>
      <c r="B77" s="25" t="inlineStr">
        <is>
          <t>H. Envíos y logística</t>
        </is>
      </c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</row>
    <row r="78" ht="48" customHeight="1">
      <c r="A78" s="26" t="n">
        <v>68</v>
      </c>
      <c r="B78" s="26" t="inlineStr">
        <is>
          <t>Envíos y logística</t>
        </is>
      </c>
      <c r="C78" s="27" t="inlineStr">
        <is>
          <t>Tarifas de envío reales</t>
        </is>
      </c>
      <c r="D78" s="26" t="inlineStr">
        <is>
          <t>Hay un método «Envío estándar» (5 € + IVA, península y Baleares) como valor provisional. En cada método se marca a qué territorios aplica y un pedido mínimo opcional, así que las tarifas se configuran sin programar.</t>
        </is>
      </c>
      <c r="E78" s="26" t="inlineStr">
        <is>
          <t>Península 4,95 €; Baleares 9,95 €</t>
        </is>
      </c>
      <c r="F78" s="28" t="inlineStr">
        <is>
          <t>Crítico</t>
        </is>
      </c>
      <c r="G78" s="26" t="inlineStr">
        <is>
          <t>5 € + IVA (península y Baleares)</t>
        </is>
      </c>
      <c r="H78" s="26" t="inlineStr">
        <is>
          <t>Cliente</t>
        </is>
      </c>
      <c r="I78" s="29" t="n"/>
      <c r="J78" s="29" t="inlineStr">
        <is>
          <t>Pendiente</t>
        </is>
      </c>
      <c r="K78" s="26" t="inlineStr">
        <is>
          <t>Dashboard → Ajustes → Métodos de envío</t>
        </is>
      </c>
      <c r="L78" s="26" t="inlineStr">
        <is>
          <t>Ejemplos en docs/iva-envios-facturacion.md.</t>
        </is>
      </c>
    </row>
    <row r="79" ht="36" customHeight="1">
      <c r="A79" s="26" t="n">
        <v>69</v>
      </c>
      <c r="B79" s="26" t="inlineStr">
        <is>
          <t>Envíos y logística</t>
        </is>
      </c>
      <c r="C79" s="27" t="inlineStr">
        <is>
          <t>Nombre del método de envío</t>
        </is>
      </c>
      <c r="D79" s="26" t="inlineStr">
        <is>
          <t>Ya renombrado a «Envío estándar» (antes «Standard Shipping»). Cambiarlo si se quiere indicar el plazo o el transportista.</t>
        </is>
      </c>
      <c r="E79" s="26" t="inlineStr">
        <is>
          <t>Envío estándar (24-72 h)</t>
        </is>
      </c>
      <c r="F79" s="32" t="inlineStr">
        <is>
          <t>Informativo</t>
        </is>
      </c>
      <c r="G79" s="26" t="inlineStr">
        <is>
          <t>Envío estándar</t>
        </is>
      </c>
      <c r="H79" s="26" t="inlineStr">
        <is>
          <t>Cliente</t>
        </is>
      </c>
      <c r="I79" s="29" t="n"/>
      <c r="J79" s="29" t="inlineStr">
        <is>
          <t>Pendiente</t>
        </is>
      </c>
      <c r="K79" s="26" t="inlineStr">
        <is>
          <t>Dashboard → Ajustes → Métodos de envío</t>
        </is>
      </c>
      <c r="L79" s="26" t="inlineStr"/>
    </row>
    <row r="80" ht="36" customHeight="1">
      <c r="A80" s="26" t="n">
        <v>70</v>
      </c>
      <c r="B80" s="26" t="inlineStr">
        <is>
          <t>Envíos y logística</t>
        </is>
      </c>
      <c r="C80" s="27" t="inlineStr">
        <is>
          <t>Envío gratis a partir de un importe</t>
        </is>
      </c>
      <c r="D80" s="26" t="inlineStr">
        <is>
          <t>Preparado: basta con crear un método de 0 € con la condición «Territorios de España y pedido mínimo» y el importe mínimo.</t>
        </is>
      </c>
      <c r="E80" s="26" t="inlineStr">
        <is>
          <t>Gratis a partir de 50 € (o «No»)</t>
        </is>
      </c>
      <c r="F80" s="31" t="inlineStr">
        <is>
          <t>Recomendado</t>
        </is>
      </c>
      <c r="G80" s="26" t="inlineStr">
        <is>
          <t>No configurado</t>
        </is>
      </c>
      <c r="H80" s="26" t="inlineStr">
        <is>
          <t>Cliente</t>
        </is>
      </c>
      <c r="I80" s="29" t="n"/>
      <c r="J80" s="29" t="inlineStr">
        <is>
          <t>Pendiente</t>
        </is>
      </c>
      <c r="K80" s="26" t="inlineStr">
        <is>
          <t>Dashboard → Ajustes → Métodos de envío</t>
        </is>
      </c>
      <c r="L80" s="26" t="inlineStr">
        <is>
          <t>Si se activa, se puede anunciar en la barra superior.</t>
        </is>
      </c>
    </row>
    <row r="81" ht="36" customHeight="1">
      <c r="A81" s="26" t="n">
        <v>71</v>
      </c>
      <c r="B81" s="26" t="inlineStr">
        <is>
          <t>Envíos y logística</t>
        </is>
      </c>
      <c r="C81" s="27" t="inlineStr">
        <is>
          <t>Zonas / países a los que se envía</t>
        </is>
      </c>
      <c r="D81" s="26" t="inlineStr">
        <is>
          <t>Península y Baleares activadas; Canarias, Ceuta y Melilla preparadas pero desactivadas. Fuera de España no se envía. La FAQ dice «Por ahora solo enviamos a España».</t>
        </is>
      </c>
      <c r="E81" s="26" t="inlineStr">
        <is>
          <t>Península y Baleares</t>
        </is>
      </c>
      <c r="F81" s="30" t="inlineStr">
        <is>
          <t>Importante</t>
        </is>
      </c>
      <c r="G81" s="26" t="inlineStr">
        <is>
          <t>Península y Baleares</t>
        </is>
      </c>
      <c r="H81" s="26" t="inlineStr">
        <is>
          <t>Cliente</t>
        </is>
      </c>
      <c r="I81" s="29" t="n"/>
      <c r="J81" s="29" t="inlineStr">
        <is>
          <t>Pendiente</t>
        </is>
      </c>
      <c r="K81" s="26" t="inlineStr">
        <is>
          <t>Dashboard → Métodos de envío (territorios) y features/products/messages (FAQ)</t>
        </is>
      </c>
      <c r="L81" s="26" t="inlineStr"/>
    </row>
    <row r="82" ht="30" customHeight="1">
      <c r="A82" s="26" t="n">
        <v>72</v>
      </c>
      <c r="B82" s="26" t="inlineStr">
        <is>
          <t>Envíos y logística</t>
        </is>
      </c>
      <c r="C82" s="27" t="inlineStr">
        <is>
          <t>Remitente en la etiqueta de envío</t>
        </is>
      </c>
      <c r="D82" s="26" t="inlineStr">
        <is>
          <t>La etiqueta imprimible solo lleva el destinatario. Algunos transportistas exigen remitente.</t>
        </is>
      </c>
      <c r="E82" s="26" t="inlineStr">
        <is>
          <t>Sí, con la dirección del almacén / No hace falta</t>
        </is>
      </c>
      <c r="F82" s="31" t="inlineStr">
        <is>
          <t>Recomendado</t>
        </is>
      </c>
      <c r="G82" s="26" t="inlineStr">
        <is>
          <t>Sin remitente</t>
        </is>
      </c>
      <c r="H82" s="26" t="inlineStr">
        <is>
          <t>Cliente</t>
        </is>
      </c>
      <c r="I82" s="29" t="n"/>
      <c r="J82" s="29" t="inlineStr">
        <is>
          <t>Pendiente</t>
        </is>
      </c>
      <c r="K82" s="26" t="inlineStr">
        <is>
          <t>apps/server/src/plugins/order-tools/order-tools.service.ts</t>
        </is>
      </c>
      <c r="L82" s="26" t="inlineStr">
        <is>
          <t>Pequeño desarrollo si se quiere.</t>
        </is>
      </c>
    </row>
    <row r="83" ht="30" customHeight="1">
      <c r="A83" s="26" t="n">
        <v>73</v>
      </c>
      <c r="B83" s="26" t="inlineStr">
        <is>
          <t>Envíos y logística</t>
        </is>
      </c>
      <c r="C83" s="27" t="inlineStr">
        <is>
          <t>Email «pedido enviado» con número de seguimiento</t>
        </is>
      </c>
      <c r="D83" s="26" t="inlineStr">
        <is>
          <t>Hoy no existe: el cliente ve el estado en «Mi cuenta», pero no recibe email al enviarse.</t>
        </is>
      </c>
      <c r="E83" s="26" t="inlineStr">
        <is>
          <t>Sí / No</t>
        </is>
      </c>
      <c r="F83" s="31" t="inlineStr">
        <is>
          <t>Recomendado</t>
        </is>
      </c>
      <c r="G83" s="26" t="inlineStr">
        <is>
          <t>No existe</t>
        </is>
      </c>
      <c r="H83" s="26" t="inlineStr">
        <is>
          <t>Cliente</t>
        </is>
      </c>
      <c r="I83" s="29" t="n"/>
      <c r="J83" s="29" t="inlineStr">
        <is>
          <t>Pendiente</t>
        </is>
      </c>
      <c r="K83" s="26" t="inlineStr">
        <is>
          <t>transactional-email (requiere desarrollo)</t>
        </is>
      </c>
      <c r="L83" s="26" t="inlineStr">
        <is>
          <t>Pequeño desarrollo si se quiere.</t>
        </is>
      </c>
    </row>
    <row r="84" ht="20" customHeight="1">
      <c r="A84" s="24" t="n"/>
      <c r="B84" s="25" t="inlineStr">
        <is>
          <t>I. Textos de la tienda (marketing)</t>
        </is>
      </c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 ht="30" customHeight="1">
      <c r="A85" s="26" t="n">
        <v>74</v>
      </c>
      <c r="B85" s="26" t="inlineStr">
        <is>
          <t>Textos de la tienda (marketing)</t>
        </is>
      </c>
      <c r="C85" s="27" t="inlineStr">
        <is>
          <t>Mensajes de la barra superior</t>
        </is>
      </c>
      <c r="D85" s="26" t="inlineStr">
        <is>
          <t>Tres avisos fijos arriba de todas las páginas. Deben ser ciertos.</t>
        </is>
      </c>
      <c r="E85" s="26" t="inlineStr">
        <is>
          <t>Envío en 24-72 h · Pago seguro con Redsys · Acumula puntos</t>
        </is>
      </c>
      <c r="F85" s="30" t="inlineStr">
        <is>
          <t>Importante</t>
        </is>
      </c>
      <c r="G85" s="26" t="inlineStr">
        <is>
          <t>Envío rápido · Pago seguro con Redsys · Acumula puntos en tus compras</t>
        </is>
      </c>
      <c r="H85" s="26" t="inlineStr">
        <is>
          <t>Cliente</t>
        </is>
      </c>
      <c r="I85" s="29" t="n"/>
      <c r="J85" s="29" t="inlineStr">
        <is>
          <t>Pendiente</t>
        </is>
      </c>
      <c r="K85" s="26" t="inlineStr">
        <is>
          <t>apps/storefront/src/site/navigation/top-bar-messages.ts</t>
        </is>
      </c>
      <c r="L85" s="26" t="inlineStr">
        <is>
          <t>Incluye versión en inglés.</t>
        </is>
      </c>
    </row>
    <row r="86" ht="36" customHeight="1">
      <c r="A86" s="26" t="n">
        <v>75</v>
      </c>
      <c r="B86" s="26" t="inlineStr">
        <is>
          <t>Textos de la tienda (marketing)</t>
        </is>
      </c>
      <c r="C86" s="27" t="inlineStr">
        <is>
          <t>Portada: título y subtítulo</t>
        </is>
      </c>
      <c r="D86" s="26" t="inlineStr">
        <is>
          <t>Lo primero que se ve en la home.</t>
        </is>
      </c>
      <c r="E86" s="26" t="inlineStr">
        <is>
          <t>Entrena Savage · Suplementación deportiva premium para…</t>
        </is>
      </c>
      <c r="F86" s="31" t="inlineStr">
        <is>
          <t>Recomendado</t>
        </is>
      </c>
      <c r="G86" s="26" t="inlineStr">
        <is>
          <t>Entrena Savage · Suplementación deportiva premium para atletas que entrenan duro…</t>
        </is>
      </c>
      <c r="H86" s="26" t="inlineStr">
        <is>
          <t>Cliente</t>
        </is>
      </c>
      <c r="I86" s="29" t="n"/>
      <c r="J86" s="29" t="inlineStr">
        <is>
          <t>Pendiente</t>
        </is>
      </c>
      <c r="K86" s="26" t="inlineStr">
        <is>
          <t>apps/storefront/src/site/home/messages/es.json → Hero</t>
        </is>
      </c>
      <c r="L86" s="26" t="inlineStr"/>
    </row>
    <row r="87" ht="36" customHeight="1">
      <c r="A87" s="26" t="n">
        <v>76</v>
      </c>
      <c r="B87" s="26" t="inlineStr">
        <is>
          <t>Textos de la tienda (marketing)</t>
        </is>
      </c>
      <c r="C87" s="27" t="inlineStr">
        <is>
          <t>Portada: las 3 ventajas</t>
        </is>
      </c>
      <c r="D87" s="26" t="inlineStr">
        <is>
          <t>«Calidad rigurosa: cada lote seleccionado por pureza y rendimiento», «Precios justos», «Entrega rápida». Hay que poder demostrar lo que se afirma (publicidad).</t>
        </is>
      </c>
      <c r="E87" s="26" t="inlineStr">
        <is>
          <t>Textos confirmados o nuevos</t>
        </is>
      </c>
      <c r="F87" s="30" t="inlineStr">
        <is>
          <t>Importante</t>
        </is>
      </c>
      <c r="G87" s="26" t="inlineStr">
        <is>
          <t>Calidad rigurosa / Precios justos / Entrega rápida</t>
        </is>
      </c>
      <c r="H87" s="26" t="inlineStr">
        <is>
          <t>Cliente</t>
        </is>
      </c>
      <c r="I87" s="29" t="n"/>
      <c r="J87" s="29" t="inlineStr">
        <is>
          <t>Pendiente</t>
        </is>
      </c>
      <c r="K87" s="26" t="inlineStr">
        <is>
          <t>apps/storefront/src/site/home/messages/es.json → Home.features</t>
        </is>
      </c>
      <c r="L87" s="26" t="inlineStr"/>
    </row>
    <row r="88" ht="36" customHeight="1">
      <c r="A88" s="26" t="n">
        <v>77</v>
      </c>
      <c r="B88" s="26" t="inlineStr">
        <is>
          <t>Textos de la tienda (marketing)</t>
        </is>
      </c>
      <c r="C88" s="27" t="inlineStr">
        <is>
          <t>Descripción para Google (general)</t>
        </is>
      </c>
      <c r="D88" s="26" t="inlineStr">
        <is>
          <t>Descripción por defecto en buscadores. Hoy es texto de plantilla genérico.</t>
        </is>
      </c>
      <c r="E88" s="26" t="inlineStr">
        <is>
          <t>Suplementación deportiva premium: proteína, creatina y pre-entreno. Envío en 24-72 h.</t>
        </is>
      </c>
      <c r="F88" s="30" t="inlineStr">
        <is>
          <t>Importante</t>
        </is>
      </c>
      <c r="G88" s="26" t="inlineStr">
        <is>
          <t>Compra los mejores productos en Iron Savage. Productos de calidad, precios competitivos y entrega rápida.</t>
        </is>
      </c>
      <c r="H88" s="26" t="inlineStr">
        <is>
          <t>Cliente</t>
        </is>
      </c>
      <c r="I88" s="29" t="n"/>
      <c r="J88" s="29" t="inlineStr">
        <is>
          <t>Pendiente</t>
        </is>
      </c>
      <c r="K88" s="26" t="inlineStr">
        <is>
          <t>apps/storefront/src/platform/i18n/messages/es.json → Common.siteDescription</t>
        </is>
      </c>
      <c r="L88" s="26" t="inlineStr">
        <is>
          <t>Máx. ~155 caracteres.</t>
        </is>
      </c>
    </row>
    <row r="89" ht="30" customHeight="1">
      <c r="A89" s="26" t="n">
        <v>78</v>
      </c>
      <c r="B89" s="26" t="inlineStr">
        <is>
          <t>Textos de la tienda (marketing)</t>
        </is>
      </c>
      <c r="C89" s="27" t="inlineStr">
        <is>
          <t>Descripción para Google (portada)</t>
        </is>
      </c>
      <c r="D89" s="26" t="inlineStr"/>
      <c r="E89" s="26" t="inlineStr">
        <is>
          <t>Texto de hasta ~155 caracteres</t>
        </is>
      </c>
      <c r="F89" s="31" t="inlineStr">
        <is>
          <t>Recomendado</t>
        </is>
      </c>
      <c r="G89" s="26" t="inlineStr">
        <is>
          <t>Iron Savage: suplementación deportiva premium para atletas que entrenan duro…</t>
        </is>
      </c>
      <c r="H89" s="26" t="inlineStr">
        <is>
          <t>Cliente</t>
        </is>
      </c>
      <c r="I89" s="29" t="n"/>
      <c r="J89" s="29" t="inlineStr">
        <is>
          <t>Pendiente</t>
        </is>
      </c>
      <c r="K89" s="26" t="inlineStr">
        <is>
          <t>apps/storefront/src/site/home/messages/es.json → Home.description</t>
        </is>
      </c>
      <c r="L89" s="26" t="inlineStr"/>
    </row>
    <row r="90" ht="30" customHeight="1">
      <c r="A90" s="26" t="n">
        <v>79</v>
      </c>
      <c r="B90" s="26" t="inlineStr">
        <is>
          <t>Textos de la tienda (marketing)</t>
        </is>
      </c>
      <c r="C90" s="27" t="inlineStr">
        <is>
          <t>Texto del pie de página</t>
        </is>
      </c>
      <c r="D90" s="26" t="inlineStr">
        <is>
          <t>Frase bajo el logo en el pie.</t>
        </is>
      </c>
      <c r="E90" s="26" t="inlineStr">
        <is>
          <t>Frase de marca</t>
        </is>
      </c>
      <c r="F90" s="32" t="inlineStr">
        <is>
          <t>Informativo</t>
        </is>
      </c>
      <c r="G90" s="26" t="inlineStr">
        <is>
          <t>Suplementación deportiva premium para atletas que entrenan duro…</t>
        </is>
      </c>
      <c r="H90" s="26" t="inlineStr">
        <is>
          <t>Cliente</t>
        </is>
      </c>
      <c r="I90" s="29" t="n"/>
      <c r="J90" s="29" t="inlineStr">
        <is>
          <t>Pendiente</t>
        </is>
      </c>
      <c r="K90" s="26" t="inlineStr">
        <is>
          <t>apps/storefront/src/site/messages/es.json → Footer.description</t>
        </is>
      </c>
      <c r="L90" s="26" t="inlineStr"/>
    </row>
    <row r="91" ht="36" customHeight="1">
      <c r="A91" s="26" t="n">
        <v>80</v>
      </c>
      <c r="B91" s="26" t="inlineStr">
        <is>
          <t>Textos de la tienda (marketing)</t>
        </is>
      </c>
      <c r="C91" s="27" t="inlineStr">
        <is>
          <t>Preguntas frecuentes de producto</t>
        </is>
      </c>
      <c r="D91" s="26" t="inlineStr">
        <is>
          <t>Se han reescrito con texto veraz y neutro (la plantilla prometía envíos a 50 países, 30 días de devolución y envío exprés). Ampliar con datos reales si se quiere.</t>
        </is>
      </c>
      <c r="E91" s="26" t="inlineStr">
        <is>
          <t>Textos confirmados</t>
        </is>
      </c>
      <c r="F91" s="30" t="inlineStr">
        <is>
          <t>Importante</t>
        </is>
      </c>
      <c r="G91" s="26" t="inlineStr">
        <is>
          <t>Texto neutro que remite a «Envíos y devoluciones»</t>
        </is>
      </c>
      <c r="H91" s="26" t="inlineStr">
        <is>
          <t>Cliente</t>
        </is>
      </c>
      <c r="I91" s="29" t="n"/>
      <c r="J91" s="29" t="inlineStr">
        <is>
          <t>Pendiente</t>
        </is>
      </c>
      <c r="K91" s="26" t="inlineStr">
        <is>
          <t>apps/storefront/src/features/products/messages/es.json → Product.faq</t>
        </is>
      </c>
      <c r="L91" s="26" t="inlineStr"/>
    </row>
    <row r="92" ht="30" customHeight="1">
      <c r="A92" s="26" t="n">
        <v>81</v>
      </c>
      <c r="B92" s="26" t="inlineStr">
        <is>
          <t>Textos de la tienda (marketing)</t>
        </is>
      </c>
      <c r="C92" s="27" t="inlineStr">
        <is>
          <t>Sellos de confianza en la ficha de producto</t>
        </is>
      </c>
      <c r="D92" s="26" t="inlineStr">
        <is>
          <t>Envío rápido · Desistimiento en 14 días · Pago seguro · Garantía legal de 3 años.</t>
        </is>
      </c>
      <c r="E92" s="26" t="inlineStr">
        <is>
          <t>Confirmado / cambios</t>
        </is>
      </c>
      <c r="F92" s="31" t="inlineStr">
        <is>
          <t>Recomendado</t>
        </is>
      </c>
      <c r="G92" s="26" t="inlineStr">
        <is>
          <t>Corregidos (antes: «Devoluciones gratuitas», «Garantía de 30 días»)</t>
        </is>
      </c>
      <c r="H92" s="26" t="inlineStr">
        <is>
          <t>Cliente</t>
        </is>
      </c>
      <c r="I92" s="29" t="n"/>
      <c r="J92" s="29" t="inlineStr">
        <is>
          <t>Pendiente</t>
        </is>
      </c>
      <c r="K92" s="26" t="inlineStr">
        <is>
          <t>apps/storefront/src/features/products/messages/es.json → Product.trustBadges</t>
        </is>
      </c>
      <c r="L92" s="26" t="inlineStr"/>
    </row>
    <row r="93" ht="30" customHeight="1">
      <c r="A93" s="26" t="n">
        <v>82</v>
      </c>
      <c r="B93" s="26" t="inlineStr">
        <is>
          <t>Textos de la tienda (marketing)</t>
        </is>
      </c>
      <c r="C93" s="27" t="inlineStr">
        <is>
          <t>Versión en inglés de todos los textos</t>
        </is>
      </c>
      <c r="D93" s="26" t="inlineStr">
        <is>
          <t>Cada texto anterior tiene su equivalente en inglés.</t>
        </is>
      </c>
      <c r="E93" s="26" t="inlineStr">
        <is>
          <t>Traducciones revisadas</t>
        </is>
      </c>
      <c r="F93" s="31" t="inlineStr">
        <is>
          <t>Recomendado</t>
        </is>
      </c>
      <c r="G93" s="26" t="inlineStr">
        <is>
          <t>Traducción propia</t>
        </is>
      </c>
      <c r="H93" s="26" t="inlineStr">
        <is>
          <t>Cliente</t>
        </is>
      </c>
      <c r="I93" s="29" t="n"/>
      <c r="J93" s="29" t="inlineStr">
        <is>
          <t>Pendiente</t>
        </is>
      </c>
      <c r="K93" s="26" t="inlineStr">
        <is>
          <t>Mismos archivos, en.json</t>
        </is>
      </c>
      <c r="L93" s="26" t="inlineStr"/>
    </row>
    <row r="94" ht="20" customHeight="1">
      <c r="A94" s="24" t="n"/>
      <c r="B94" s="25" t="inlineStr">
        <is>
          <t>J. Marca e imágenes</t>
        </is>
      </c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 ht="30" customHeight="1">
      <c r="A95" s="26" t="n">
        <v>83</v>
      </c>
      <c r="B95" s="26" t="inlineStr">
        <is>
          <t>Marca e imágenes</t>
        </is>
      </c>
      <c r="C95" s="27" t="inlineStr">
        <is>
          <t>Icono de la pestaña del navegador (favicon)</t>
        </is>
      </c>
      <c r="D95" s="26" t="inlineStr">
        <is>
          <t>Ya generado a partir del monograma «IS» del logo. Solo cambiar si se quiere otro.</t>
        </is>
      </c>
      <c r="E95" s="26" t="inlineStr">
        <is>
          <t>Confirmado / PNG 512×512 nuevo</t>
        </is>
      </c>
      <c r="F95" s="32" t="inlineStr">
        <is>
          <t>Informativo</t>
        </is>
      </c>
      <c r="G95" s="26" t="inlineStr">
        <is>
          <t>Monograma IS (generado)</t>
        </is>
      </c>
      <c r="H95" s="26" t="inlineStr">
        <is>
          <t>Cliente</t>
        </is>
      </c>
      <c r="I95" s="29" t="n"/>
      <c r="J95" s="29" t="inlineStr">
        <is>
          <t>Pendiente</t>
        </is>
      </c>
      <c r="K95" s="26" t="inlineStr">
        <is>
          <t>apps/storefront/src/app/[locale]/favicon.ico e icon.png</t>
        </is>
      </c>
      <c r="L95" s="26" t="inlineStr"/>
    </row>
    <row r="96" ht="30" customHeight="1">
      <c r="A96" s="26" t="n">
        <v>84</v>
      </c>
      <c r="B96" s="26" t="inlineStr">
        <is>
          <t>Marca e imágenes</t>
        </is>
      </c>
      <c r="C96" s="27" t="inlineStr">
        <is>
          <t>Icono para móviles (Apple / accesos directos)</t>
        </is>
      </c>
      <c r="D96" s="26" t="inlineStr">
        <is>
          <t>Ya generado a partir del logo.</t>
        </is>
      </c>
      <c r="E96" s="26" t="inlineStr">
        <is>
          <t>Confirmado / PNG 180×180 nuevo</t>
        </is>
      </c>
      <c r="F96" s="32" t="inlineStr">
        <is>
          <t>Informativo</t>
        </is>
      </c>
      <c r="G96" s="26" t="inlineStr">
        <is>
          <t>Generado</t>
        </is>
      </c>
      <c r="H96" s="26" t="inlineStr">
        <is>
          <t>Cliente</t>
        </is>
      </c>
      <c r="I96" s="29" t="n"/>
      <c r="J96" s="29" t="inlineStr">
        <is>
          <t>Pendiente</t>
        </is>
      </c>
      <c r="K96" s="26" t="inlineStr">
        <is>
          <t>apps/storefront/src/app/[locale]/apple-icon.png</t>
        </is>
      </c>
      <c r="L96" s="26" t="inlineStr"/>
    </row>
    <row r="97" ht="30" customHeight="1">
      <c r="A97" s="26" t="n">
        <v>85</v>
      </c>
      <c r="B97" s="26" t="inlineStr">
        <is>
          <t>Marca e imágenes</t>
        </is>
      </c>
      <c r="C97" s="27" t="inlineStr">
        <is>
          <t>Imagen para compartir en redes sociales</t>
        </is>
      </c>
      <c r="D97" s="26" t="inlineStr">
        <is>
          <t>Ya generada (logo completo sobre fondo negro). Se usa en toda página sin foto propia.</t>
        </is>
      </c>
      <c r="E97" s="26" t="inlineStr">
        <is>
          <t>Confirmado / JPG-PNG 1200×630 nuevo</t>
        </is>
      </c>
      <c r="F97" s="32" t="inlineStr">
        <is>
          <t>Informativo</t>
        </is>
      </c>
      <c r="G97" s="26" t="inlineStr">
        <is>
          <t>Generada</t>
        </is>
      </c>
      <c r="H97" s="26" t="inlineStr">
        <is>
          <t>Cliente</t>
        </is>
      </c>
      <c r="I97" s="29" t="n"/>
      <c r="J97" s="29" t="inlineStr">
        <is>
          <t>Pendiente</t>
        </is>
      </c>
      <c r="K97" s="26" t="inlineStr">
        <is>
          <t>apps/storefront/public/og-image.png</t>
        </is>
      </c>
      <c r="L97" s="26" t="inlineStr"/>
    </row>
    <row r="98" ht="30" customHeight="1">
      <c r="A98" s="26" t="n">
        <v>86</v>
      </c>
      <c r="B98" s="26" t="inlineStr">
        <is>
          <t>Marca e imágenes</t>
        </is>
      </c>
      <c r="C98" s="27" t="inlineStr">
        <is>
          <t>Logo definitivo</t>
        </is>
      </c>
      <c r="D98" s="26" t="inlineStr">
        <is>
          <t>Ya integrado en la web, los emails y las facturas. Confirmar que es la versión final.</t>
        </is>
      </c>
      <c r="E98" s="26" t="inlineStr">
        <is>
          <t>Confirmado</t>
        </is>
      </c>
      <c r="F98" s="32" t="inlineStr">
        <is>
          <t>Informativo</t>
        </is>
      </c>
      <c r="G98" s="26" t="inlineStr">
        <is>
          <t>Logo Iron Savage</t>
        </is>
      </c>
      <c r="H98" s="26" t="inlineStr">
        <is>
          <t>Cliente</t>
        </is>
      </c>
      <c r="I98" s="29" t="n"/>
      <c r="J98" s="29" t="inlineStr">
        <is>
          <t>Pendiente</t>
        </is>
      </c>
      <c r="K98" s="26" t="inlineStr">
        <is>
          <t>apps/storefront/src/assets/, email (logo-asset.ts), factura (logo-base64.ts)</t>
        </is>
      </c>
      <c r="L98" s="26" t="inlineStr"/>
    </row>
    <row r="99" ht="30" customHeight="1">
      <c r="A99" s="26" t="n">
        <v>87</v>
      </c>
      <c r="B99" s="26" t="inlineStr">
        <is>
          <t>Marca e imágenes</t>
        </is>
      </c>
      <c r="C99" s="27" t="inlineStr">
        <is>
          <t>Archivos sobrantes de la plantilla</t>
        </is>
      </c>
      <c r="D99" s="26" t="inlineStr">
        <is>
          <t>public/next.svg y public/vendure.svg ya se han borrado.</t>
        </is>
      </c>
      <c r="E99" s="26" t="inlineStr">
        <is>
          <t>—</t>
        </is>
      </c>
      <c r="F99" s="32" t="inlineStr">
        <is>
          <t>Informativo</t>
        </is>
      </c>
      <c r="G99" s="26" t="inlineStr">
        <is>
          <t>Borrados</t>
        </is>
      </c>
      <c r="H99" s="26" t="inlineStr">
        <is>
          <t>Técnico</t>
        </is>
      </c>
      <c r="I99" s="29" t="n"/>
      <c r="J99" s="29" t="inlineStr">
        <is>
          <t>Pendiente</t>
        </is>
      </c>
      <c r="K99" s="26" t="inlineStr">
        <is>
          <t>apps/storefront/public/</t>
        </is>
      </c>
      <c r="L99" s="26" t="inlineStr"/>
    </row>
    <row r="100" ht="20" customHeight="1">
      <c r="A100" s="24" t="n"/>
      <c r="B100" s="25" t="inlineStr">
        <is>
          <t>K. Analítica (Google Analytics 4)</t>
        </is>
      </c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 ht="30" customHeight="1">
      <c r="A101" s="26" t="n">
        <v>88</v>
      </c>
      <c r="B101" s="26" t="inlineStr">
        <is>
          <t>Analítica (Google Analytics 4)</t>
        </is>
      </c>
      <c r="C101" s="27" t="inlineStr">
        <is>
          <t>ID de medición de Google Analytics</t>
        </is>
      </c>
      <c r="D101" s="26" t="inlineStr">
        <is>
          <t>Integrado y listo; solo se activa con el ID y tras aceptar las cookies. Crear una propiedad GA4 con un flujo web.</t>
        </is>
      </c>
      <c r="E101" s="26" t="inlineStr">
        <is>
          <t>G-AB12CD34EF</t>
        </is>
      </c>
      <c r="F101" s="31" t="inlineStr">
        <is>
          <t>Recomendado</t>
        </is>
      </c>
      <c r="G101" s="26" t="inlineStr">
        <is>
          <t>(vacío: sin analítica)</t>
        </is>
      </c>
      <c r="H101" s="26" t="inlineStr">
        <is>
          <t>Cliente</t>
        </is>
      </c>
      <c r="I101" s="29" t="n"/>
      <c r="J101" s="29" t="inlineStr">
        <is>
          <t>Pendiente</t>
        </is>
      </c>
      <c r="K101" s="26" t="inlineStr">
        <is>
          <t>.env.prod → NEXT_PUBLIC_GA_ID</t>
        </is>
      </c>
      <c r="L101" s="26" t="inlineStr">
        <is>
          <t>Reconstruir la imagen del storefront tras ponerlo.</t>
        </is>
      </c>
    </row>
    <row r="102" ht="30" customHeight="1">
      <c r="A102" s="26" t="n">
        <v>89</v>
      </c>
      <c r="B102" s="26" t="inlineStr">
        <is>
          <t>Analítica (Google Analytics 4)</t>
        </is>
      </c>
      <c r="C102" s="27" t="inlineStr">
        <is>
          <t>Ajustes de la propiedad GA4</t>
        </is>
      </c>
      <c r="D102" s="26" t="inlineStr">
        <is>
          <t>Conservación de datos 14 meses; «señales de Google» y personalización de anuncios desactivadas.</t>
        </is>
      </c>
      <c r="E102" s="26" t="inlineStr">
        <is>
          <t>Hecho</t>
        </is>
      </c>
      <c r="F102" s="31" t="inlineStr">
        <is>
          <t>Recomendado</t>
        </is>
      </c>
      <c r="G102" s="26" t="inlineStr">
        <is>
          <t>—</t>
        </is>
      </c>
      <c r="H102" s="26" t="inlineStr">
        <is>
          <t>Cliente</t>
        </is>
      </c>
      <c r="I102" s="29" t="n"/>
      <c r="J102" s="29" t="inlineStr">
        <is>
          <t>Pendiente</t>
        </is>
      </c>
      <c r="K102" s="26" t="inlineStr">
        <is>
          <t>Google Analytics → Administrar</t>
        </is>
      </c>
      <c r="L102" s="26" t="inlineStr">
        <is>
          <t>La política de privacidad dice 2 meses por defecto, 14 como máximo.</t>
        </is>
      </c>
    </row>
    <row r="103" ht="20" customHeight="1">
      <c r="A103" s="24" t="n"/>
      <c r="B103" s="25" t="inlineStr">
        <is>
          <t>L. Catálogo y contenido</t>
        </is>
      </c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 ht="30" customHeight="1">
      <c r="A104" s="26" t="n">
        <v>90</v>
      </c>
      <c r="B104" s="26" t="inlineStr">
        <is>
          <t>Catálogo y contenido</t>
        </is>
      </c>
      <c r="C104" s="27" t="inlineStr">
        <is>
          <t>Catálogo real de productos</t>
        </is>
      </c>
      <c r="D104" s="26" t="inlineStr">
        <is>
          <t>Nombres, descripciones, precios, categorías.</t>
        </is>
      </c>
      <c r="E104" s="26" t="inlineStr">
        <is>
          <t>Productos cargados en el panel</t>
        </is>
      </c>
      <c r="F104" s="28" t="inlineStr">
        <is>
          <t>Crítico</t>
        </is>
      </c>
      <c r="G104" s="26" t="inlineStr">
        <is>
          <t>Productos de prueba</t>
        </is>
      </c>
      <c r="H104" s="26" t="inlineStr">
        <is>
          <t>Cliente</t>
        </is>
      </c>
      <c r="I104" s="29" t="n"/>
      <c r="J104" s="29" t="inlineStr">
        <is>
          <t>Pendiente</t>
        </is>
      </c>
      <c r="K104" s="26" t="inlineStr">
        <is>
          <t>Dashboard → Catálogo</t>
        </is>
      </c>
      <c r="L104" s="26" t="inlineStr"/>
    </row>
    <row r="105" ht="72" customHeight="1">
      <c r="A105" s="26" t="n">
        <v>91</v>
      </c>
      <c r="B105" s="26" t="inlineStr">
        <is>
          <t>Catálogo y contenido</t>
        </is>
      </c>
      <c r="C105" s="27" t="inlineStr">
        <is>
          <t>Información alimentaria obligatoria de cada producto</t>
        </is>
      </c>
      <c r="D105" s="26" t="inlineStr">
        <is>
          <t>Campos ya creados en la pestaña «Información alimentaria» del producto: ingredientes (alérgenos en MAYÚSCULAS), alérgenos, tabla nutricional, modo de empleo y dosis, advertencias, conservación, origen, operador y cantidad neta por variante. Las advertencias legales de los complementos se añaden solas.</t>
        </is>
      </c>
      <c r="E105" s="26" t="inlineStr">
        <is>
          <t>Rellenar cada producto (texto del etiquetado)</t>
        </is>
      </c>
      <c r="F105" s="28" t="inlineStr">
        <is>
          <t>Crítico</t>
        </is>
      </c>
      <c r="G105" s="26" t="inlineStr">
        <is>
          <t>Campos vacíos</t>
        </is>
      </c>
      <c r="H105" s="26" t="inlineStr">
        <is>
          <t>Cliente</t>
        </is>
      </c>
      <c r="I105" s="29" t="n"/>
      <c r="J105" s="29" t="inlineStr">
        <is>
          <t>Pendiente</t>
        </is>
      </c>
      <c r="K105" s="26" t="inlineStr">
        <is>
          <t>Dashboard → Catálogo → producto → pestaña «Información alimentaria» (y variante → Cantidad neta)</t>
        </is>
      </c>
      <c r="L105" s="26" t="inlineStr">
        <is>
          <t>Reglamento UE 1169/2011. Ver docs/iva-envios-facturacion.md.</t>
        </is>
      </c>
    </row>
    <row r="106" ht="30" customHeight="1">
      <c r="A106" s="26" t="n">
        <v>92</v>
      </c>
      <c r="B106" s="26" t="inlineStr">
        <is>
          <t>Catálogo y contenido</t>
        </is>
      </c>
      <c r="C106" s="27" t="inlineStr">
        <is>
          <t>Stock inicial</t>
        </is>
      </c>
      <c r="D106" s="26" t="inlineStr">
        <is>
          <t>Unidades disponibles por variante.</t>
        </is>
      </c>
      <c r="E106" s="26" t="inlineStr">
        <is>
          <t>Cantidades reales</t>
        </is>
      </c>
      <c r="F106" s="28" t="inlineStr">
        <is>
          <t>Crítico</t>
        </is>
      </c>
      <c r="G106" s="26" t="inlineStr">
        <is>
          <t>Cantidades de prueba</t>
        </is>
      </c>
      <c r="H106" s="26" t="inlineStr">
        <is>
          <t>Cliente</t>
        </is>
      </c>
      <c r="I106" s="29" t="n"/>
      <c r="J106" s="29" t="inlineStr">
        <is>
          <t>Pendiente</t>
        </is>
      </c>
      <c r="K106" s="26" t="inlineStr">
        <is>
          <t>Dashboard → Catálogo → Stock</t>
        </is>
      </c>
      <c r="L106" s="26" t="inlineStr"/>
    </row>
    <row r="107" ht="30" customHeight="1">
      <c r="A107" s="26" t="n">
        <v>93</v>
      </c>
      <c r="B107" s="26" t="inlineStr">
        <is>
          <t>Catálogo y contenido</t>
        </is>
      </c>
      <c r="C107" s="27" t="inlineStr">
        <is>
          <t>Fotos de producto</t>
        </is>
      </c>
      <c r="D107" s="26" t="inlineStr">
        <is>
          <t>Buena calidad y fondo homogéneo.</t>
        </is>
      </c>
      <c r="E107" s="26" t="inlineStr">
        <is>
          <t>JPG/PNG ≥ 1200 px</t>
        </is>
      </c>
      <c r="F107" s="30" t="inlineStr">
        <is>
          <t>Importante</t>
        </is>
      </c>
      <c r="G107" s="26" t="inlineStr">
        <is>
          <t>Fotos de prueba</t>
        </is>
      </c>
      <c r="H107" s="26" t="inlineStr">
        <is>
          <t>Cliente</t>
        </is>
      </c>
      <c r="I107" s="29" t="n"/>
      <c r="J107" s="29" t="inlineStr">
        <is>
          <t>Pendiente</t>
        </is>
      </c>
      <c r="K107" s="26" t="inlineStr">
        <is>
          <t>Dashboard → Catálogo</t>
        </is>
      </c>
      <c r="L107" s="26" t="inlineStr"/>
    </row>
    <row r="108" ht="30" customHeight="1">
      <c r="A108" s="26" t="n">
        <v>94</v>
      </c>
      <c r="B108" s="26" t="inlineStr">
        <is>
          <t>Catálogo y contenido</t>
        </is>
      </c>
      <c r="C108" s="27" t="inlineStr">
        <is>
          <t>Banners de la portada</t>
        </is>
      </c>
      <c r="D108" s="26" t="inlineStr">
        <is>
          <t>Imágenes y textos de las promociones del carrusel.</t>
        </is>
      </c>
      <c r="E108" s="26" t="inlineStr">
        <is>
          <t>3 banners con imagen y texto</t>
        </is>
      </c>
      <c r="F108" s="30" t="inlineStr">
        <is>
          <t>Importante</t>
        </is>
      </c>
      <c r="G108" s="26" t="inlineStr">
        <is>
          <t>Banners de prueba</t>
        </is>
      </c>
      <c r="H108" s="26" t="inlineStr">
        <is>
          <t>Cliente</t>
        </is>
      </c>
      <c r="I108" s="29" t="n"/>
      <c r="J108" s="29" t="inlineStr">
        <is>
          <t>Pendiente</t>
        </is>
      </c>
      <c r="K108" s="26" t="inlineStr">
        <is>
          <t>Dashboard → Marketing → Banners</t>
        </is>
      </c>
      <c r="L108" s="26" t="inlineStr"/>
    </row>
    <row r="109" ht="30" customHeight="1">
      <c r="A109" s="26" t="n">
        <v>95</v>
      </c>
      <c r="B109" s="26" t="inlineStr">
        <is>
          <t>Catálogo y contenido</t>
        </is>
      </c>
      <c r="C109" s="27" t="inlineStr">
        <is>
          <t>Artículos / noticias</t>
        </is>
      </c>
      <c r="D109" s="26" t="inlineStr">
        <is>
          <t>Solo si se va a usar el blog.</t>
        </is>
      </c>
      <c r="E109" s="26" t="inlineStr">
        <is>
          <t>Artículos reales o borrar los de prueba</t>
        </is>
      </c>
      <c r="F109" s="31" t="inlineStr">
        <is>
          <t>Recomendado</t>
        </is>
      </c>
      <c r="G109" s="26" t="inlineStr">
        <is>
          <t>Artículos de prueba</t>
        </is>
      </c>
      <c r="H109" s="26" t="inlineStr">
        <is>
          <t>Cliente</t>
        </is>
      </c>
      <c r="I109" s="29" t="n"/>
      <c r="J109" s="29" t="inlineStr">
        <is>
          <t>Pendiente</t>
        </is>
      </c>
      <c r="K109" s="26" t="inlineStr">
        <is>
          <t>Dashboard → Contenido → Artículos</t>
        </is>
      </c>
      <c r="L109" s="26" t="inlineStr"/>
    </row>
    <row r="110" ht="30" customHeight="1">
      <c r="A110" s="26" t="n">
        <v>96</v>
      </c>
      <c r="B110" s="26" t="inlineStr">
        <is>
          <t>Catálogo y contenido</t>
        </is>
      </c>
      <c r="C110" s="27" t="inlineStr">
        <is>
          <t>Atletas y sus códigos</t>
        </is>
      </c>
      <c r="D110" s="26" t="inlineStr">
        <is>
          <t>Dar de alta a los atletas colaboradores con su código, descuento y recompensa.</t>
        </is>
      </c>
      <c r="E110" s="26" t="inlineStr">
        <is>
          <t>Lista de atletas + código + % descuento + % recompensa</t>
        </is>
      </c>
      <c r="F110" s="31" t="inlineStr">
        <is>
          <t>Recomendado</t>
        </is>
      </c>
      <c r="G110" s="26" t="inlineStr">
        <is>
          <t>—</t>
        </is>
      </c>
      <c r="H110" s="26" t="inlineStr">
        <is>
          <t>Cliente</t>
        </is>
      </c>
      <c r="I110" s="29" t="n"/>
      <c r="J110" s="29" t="inlineStr">
        <is>
          <t>Pendiente</t>
        </is>
      </c>
      <c r="K110" s="26" t="inlineStr">
        <is>
          <t>Dashboard → Atletas</t>
        </is>
      </c>
      <c r="L110" s="26" t="inlineStr">
        <is>
          <t>Los atletas deben marcar su contenido como publicidad.</t>
        </is>
      </c>
    </row>
    <row r="111" ht="20" customHeight="1">
      <c r="A111" s="24" t="n"/>
      <c r="B111" s="25" t="inlineStr">
        <is>
          <t>M. Programa de puntos</t>
        </is>
      </c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 ht="30" customHeight="1">
      <c r="A112" s="26" t="n">
        <v>97</v>
      </c>
      <c r="B112" s="26" t="inlineStr">
        <is>
          <t>Programa de puntos</t>
        </is>
      </c>
      <c r="C112" s="27" t="inlineStr">
        <is>
          <t>Puntos por cada euro gastado</t>
        </is>
      </c>
      <c r="D112" s="26" t="inlineStr"/>
      <c r="E112" s="26" t="inlineStr">
        <is>
          <t>1 punto por euro</t>
        </is>
      </c>
      <c r="F112" s="31" t="inlineStr">
        <is>
          <t>Recomendado</t>
        </is>
      </c>
      <c r="G112" s="26" t="inlineStr">
        <is>
          <t>1 punto / €</t>
        </is>
      </c>
      <c r="H112" s="26" t="inlineStr">
        <is>
          <t>Cliente</t>
        </is>
      </c>
      <c r="I112" s="29" t="n"/>
      <c r="J112" s="29" t="inlineStr">
        <is>
          <t>Pendiente</t>
        </is>
      </c>
      <c r="K112" s="26" t="inlineStr">
        <is>
          <t>apps/server/src/vendure-config.ts → LoyaltyPlugin.init (pointsPerEuro)</t>
        </is>
      </c>
      <c r="L112" s="26" t="inlineStr">
        <is>
          <t>Cambiarlo requiere tocar código y redesplegar.</t>
        </is>
      </c>
    </row>
    <row r="113" ht="30" customHeight="1">
      <c r="A113" s="26" t="n">
        <v>98</v>
      </c>
      <c r="B113" s="26" t="inlineStr">
        <is>
          <t>Programa de puntos</t>
        </is>
      </c>
      <c r="C113" s="27" t="inlineStr">
        <is>
          <t>Valor de cada punto al canjear</t>
        </is>
      </c>
      <c r="D113" s="26" t="inlineStr"/>
      <c r="E113" s="26" t="inlineStr">
        <is>
          <t>0,01 € por punto</t>
        </is>
      </c>
      <c r="F113" s="31" t="inlineStr">
        <is>
          <t>Recomendado</t>
        </is>
      </c>
      <c r="G113" s="26" t="inlineStr">
        <is>
          <t>0,01 € / punto</t>
        </is>
      </c>
      <c r="H113" s="26" t="inlineStr">
        <is>
          <t>Cliente</t>
        </is>
      </c>
      <c r="I113" s="29" t="n"/>
      <c r="J113" s="29" t="inlineStr">
        <is>
          <t>Pendiente</t>
        </is>
      </c>
      <c r="K113" s="26" t="inlineStr">
        <is>
          <t>vendure-config.ts → pointValueInCents</t>
        </is>
      </c>
      <c r="L113" s="26" t="inlineStr"/>
    </row>
    <row r="114" ht="30" customHeight="1">
      <c r="A114" s="26" t="n">
        <v>99</v>
      </c>
      <c r="B114" s="26" t="inlineStr">
        <is>
          <t>Programa de puntos</t>
        </is>
      </c>
      <c r="C114" s="27" t="inlineStr">
        <is>
          <t>Mínimo de puntos para canjear</t>
        </is>
      </c>
      <c r="D114" s="26" t="inlineStr"/>
      <c r="E114" s="26" t="inlineStr">
        <is>
          <t>100 puntos</t>
        </is>
      </c>
      <c r="F114" s="31" t="inlineStr">
        <is>
          <t>Recomendado</t>
        </is>
      </c>
      <c r="G114" s="26" t="inlineStr">
        <is>
          <t>100 puntos</t>
        </is>
      </c>
      <c r="H114" s="26" t="inlineStr">
        <is>
          <t>Cliente</t>
        </is>
      </c>
      <c r="I114" s="29" t="n"/>
      <c r="J114" s="29" t="inlineStr">
        <is>
          <t>Pendiente</t>
        </is>
      </c>
      <c r="K114" s="26" t="inlineStr">
        <is>
          <t>vendure-config.ts → minRedeemablePoints</t>
        </is>
      </c>
      <c r="L114" s="26" t="inlineStr"/>
    </row>
    <row r="115" ht="30" customHeight="1">
      <c r="A115" s="26" t="n">
        <v>100</v>
      </c>
      <c r="B115" s="26" t="inlineStr">
        <is>
          <t>Programa de puntos</t>
        </is>
      </c>
      <c r="C115" s="27" t="inlineStr">
        <is>
          <t>Descuento máximo por pedido con puntos</t>
        </is>
      </c>
      <c r="D115" s="26" t="inlineStr"/>
      <c r="E115" s="26" t="inlineStr">
        <is>
          <t>20 €</t>
        </is>
      </c>
      <c r="F115" s="31" t="inlineStr">
        <is>
          <t>Recomendado</t>
        </is>
      </c>
      <c r="G115" s="26" t="inlineStr">
        <is>
          <t>20 €</t>
        </is>
      </c>
      <c r="H115" s="26" t="inlineStr">
        <is>
          <t>Cliente</t>
        </is>
      </c>
      <c r="I115" s="29" t="n"/>
      <c r="J115" s="29" t="inlineStr">
        <is>
          <t>Pendiente</t>
        </is>
      </c>
      <c r="K115" s="26" t="inlineStr">
        <is>
          <t>vendure-config.ts → maxDiscountPerOrderCents</t>
        </is>
      </c>
      <c r="L115" s="26" t="inlineStr"/>
    </row>
    <row r="116" ht="30" customHeight="1">
      <c r="A116" s="26" t="n">
        <v>101</v>
      </c>
      <c r="B116" s="26" t="inlineStr">
        <is>
          <t>Programa de puntos</t>
        </is>
      </c>
      <c r="C116" s="27" t="inlineStr">
        <is>
          <t>¿Caducan los puntos?</t>
        </is>
      </c>
      <c r="D116" s="26" t="inlineStr">
        <is>
          <t>Hoy no caducan.</t>
        </is>
      </c>
      <c r="E116" s="26" t="inlineStr">
        <is>
          <t>No caducan / caducan a los 12 meses</t>
        </is>
      </c>
      <c r="F116" s="31" t="inlineStr">
        <is>
          <t>Recomendado</t>
        </is>
      </c>
      <c r="G116" s="26" t="inlineStr">
        <is>
          <t>No caducan</t>
        </is>
      </c>
      <c r="H116" s="26" t="inlineStr">
        <is>
          <t>Cliente</t>
        </is>
      </c>
      <c r="I116" s="29" t="n"/>
      <c r="J116" s="29" t="inlineStr">
        <is>
          <t>Pendiente</t>
        </is>
      </c>
      <c r="K116" s="26" t="inlineStr">
        <is>
          <t>Requiere desarrollo si caducan</t>
        </is>
      </c>
      <c r="L116" s="26" t="inlineStr"/>
    </row>
    <row r="117" ht="20" customHeight="1">
      <c r="A117" s="24" t="n"/>
      <c r="B117" s="25" t="inlineStr">
        <is>
          <t>N. Copias de seguridad</t>
        </is>
      </c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 ht="30" customHeight="1">
      <c r="A118" s="26" t="n">
        <v>102</v>
      </c>
      <c r="B118" s="26" t="inlineStr">
        <is>
          <t>Copias de seguridad</t>
        </is>
      </c>
      <c r="C118" s="27" t="inlineStr">
        <is>
          <t>Copia externa (fuera del servidor)</t>
        </is>
      </c>
      <c r="D118" s="26" t="inlineStr">
        <is>
          <t>Hoy la copia diaria se guarda solo en el propio servidor. Recomendado subirla a un almacenamiento externo.</t>
        </is>
      </c>
      <c r="E118" s="26" t="inlineStr">
        <is>
          <t>Backblaze B2 / Amazon S3 + credenciales</t>
        </is>
      </c>
      <c r="F118" s="30" t="inlineStr">
        <is>
          <t>Importante</t>
        </is>
      </c>
      <c r="G118" s="26" t="inlineStr">
        <is>
          <t>Solo en el servidor</t>
        </is>
      </c>
      <c r="H118" s="26" t="inlineStr">
        <is>
          <t>Cliente + Técnico</t>
        </is>
      </c>
      <c r="I118" s="29" t="n"/>
      <c r="J118" s="29" t="inlineStr">
        <is>
          <t>Pendiente</t>
        </is>
      </c>
      <c r="K118" s="26" t="inlineStr">
        <is>
          <t>scripts/backup.sh (requiere configuración)</t>
        </is>
      </c>
      <c r="L118" s="26" t="inlineStr">
        <is>
          <t>Ver hoja «Hosting».</t>
        </is>
      </c>
    </row>
    <row r="119" ht="30" customHeight="1">
      <c r="A119" s="26" t="n">
        <v>103</v>
      </c>
      <c r="B119" s="26" t="inlineStr">
        <is>
          <t>Copias de seguridad</t>
        </is>
      </c>
      <c r="C119" s="27" t="inlineStr">
        <is>
          <t>Días que se conservan las copias</t>
        </is>
      </c>
      <c r="D119" s="26" t="inlineStr"/>
      <c r="E119" s="26" t="inlineStr">
        <is>
          <t>30 días</t>
        </is>
      </c>
      <c r="F119" s="31" t="inlineStr">
        <is>
          <t>Recomendado</t>
        </is>
      </c>
      <c r="G119" s="26" t="inlineStr">
        <is>
          <t>14 días</t>
        </is>
      </c>
      <c r="H119" s="26" t="inlineStr">
        <is>
          <t>Cliente</t>
        </is>
      </c>
      <c r="I119" s="29" t="n"/>
      <c r="J119" s="29" t="inlineStr">
        <is>
          <t>Pendiente</t>
        </is>
      </c>
      <c r="K119" s="26" t="inlineStr">
        <is>
          <t>BACKUP_RETENTION_DAYS (entorno del script)</t>
        </is>
      </c>
      <c r="L119" s="26" t="inlineStr"/>
    </row>
  </sheetData>
  <autoFilter ref="A1:L119"/>
  <mergeCells count="14">
    <mergeCell ref="B65:L65"/>
    <mergeCell ref="B100:L100"/>
    <mergeCell ref="B77:L77"/>
    <mergeCell ref="B55:L55"/>
    <mergeCell ref="B72:L72"/>
    <mergeCell ref="B3:L3"/>
    <mergeCell ref="B103:L103"/>
    <mergeCell ref="B20:L20"/>
    <mergeCell ref="B111:L111"/>
    <mergeCell ref="B117:L117"/>
    <mergeCell ref="B45:L45"/>
    <mergeCell ref="B84:L84"/>
    <mergeCell ref="B94:L94"/>
    <mergeCell ref="B31:L31"/>
  </mergeCells>
  <dataValidations count="2">
    <dataValidation sqref="J3:J119" showDropDown="0" showInputMessage="0" showErrorMessage="0" allowBlank="1" type="list">
      <formula1>"Pendiente,En curso,Hecho,No aplica"</formula1>
    </dataValidation>
    <dataValidation sqref="F3:F119" showDropDown="0" showInputMessage="0" showErrorMessage="0" allowBlank="0" type="list">
      <formula1>"Crítico,Importante,Recomendado,Informativo"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  <col width="50" customWidth="1" min="5" max="5"/>
    <col width="50" customWidth="1" min="6" max="6"/>
    <col width="34" customWidth="1" min="7" max="7"/>
  </cols>
  <sheetData>
    <row r="1" ht="32" customHeight="1">
      <c r="A1" s="14" t="inlineStr">
        <is>
          <t>Email</t>
        </is>
      </c>
      <c r="B1" s="14" t="inlineStr">
        <is>
          <t>Cuándo se envía</t>
        </is>
      </c>
      <c r="C1" s="14" t="inlineStr">
        <is>
          <t>Asunto actual</t>
        </is>
      </c>
      <c r="D1" s="14" t="inlineStr">
        <is>
          <t>Frases clave actuales</t>
        </is>
      </c>
      <c r="E1" s="14" t="inlineStr">
        <is>
          <t>Qué conviene revisar</t>
        </is>
      </c>
      <c r="F1" s="14" t="inlineStr">
        <is>
          <t>TEXTO NUEVO (opcional)</t>
        </is>
      </c>
      <c r="G1" s="14" t="inlineStr">
        <is>
          <t>Archivo (apps/server/src/plugins/transactional-email/)</t>
        </is>
      </c>
    </row>
    <row r="2" ht="36" customHeight="1">
      <c r="A2" s="27" t="inlineStr">
        <is>
          <t>Verifica tu email</t>
        </is>
      </c>
      <c r="B2" s="26" t="inlineStr">
        <is>
          <t>Al registrarse en la tienda</t>
        </is>
      </c>
      <c r="C2" s="26" t="inlineStr">
        <is>
          <t>Verifica tu email en {tienda}</t>
        </is>
      </c>
      <c r="D2" s="26" t="inlineStr">
        <is>
          <t>Gracias por registrarte en {tienda}. Confirma tu dirección de email para activar tu cuenta.</t>
        </is>
      </c>
      <c r="E2" s="26" t="inlineStr">
        <is>
          <t>Tono y texto del botón.</t>
        </is>
      </c>
      <c r="F2" s="29" t="n"/>
      <c r="G2" s="26" t="inlineStr">
        <is>
          <t>templates/email-verification.ts</t>
        </is>
      </c>
    </row>
    <row r="3" ht="36" customHeight="1">
      <c r="A3" s="27" t="inlineStr">
        <is>
          <t>Activa tu cuenta</t>
        </is>
      </c>
      <c r="B3" s="26" t="inlineStr">
        <is>
          <t>Cuando un administrador crea la cuenta de un cliente o atleta</t>
        </is>
      </c>
      <c r="C3" s="26" t="inlineStr">
        <is>
          <t>Activa tu cuenta en {tienda}</t>
        </is>
      </c>
      <c r="D3" s="26" t="inlineStr">
        <is>
          <t>Te hemos creado una cuenta en {tienda}. Para activarla, confirma tu email y elige tu contraseña.</t>
        </is>
      </c>
      <c r="E3" s="26" t="inlineStr">
        <is>
          <t>Tono.</t>
        </is>
      </c>
      <c r="F3" s="29" t="n"/>
      <c r="G3" s="26" t="inlineStr">
        <is>
          <t>templates/email-verification.ts</t>
        </is>
      </c>
    </row>
    <row r="4" ht="36" customHeight="1">
      <c r="A4" s="27" t="inlineStr">
        <is>
          <t>Bienvenida</t>
        </is>
      </c>
      <c r="B4" s="26" t="inlineStr">
        <is>
          <t>Al verificar la cuenta</t>
        </is>
      </c>
      <c r="C4" s="26" t="inlineStr">
        <is>
          <t>Bienvenido/a a {tienda}</t>
        </is>
      </c>
      <c r="D4" s="26" t="inlineStr">
        <is>
          <t>Tu cuenta en {tienda} ha sido verificada correctamente. ¡Ya puedes comprar con tu cuenta! · Gracias por registrarte.</t>
        </is>
      </c>
      <c r="E4" s="26" t="inlineStr">
        <is>
          <t>Se puede añadir un mensaje de bienvenida o un cupón de primera compra.</t>
        </is>
      </c>
      <c r="F4" s="29" t="n"/>
      <c r="G4" s="26" t="inlineStr">
        <is>
          <t>templates/registration-confirmation.ts</t>
        </is>
      </c>
    </row>
    <row r="5" ht="36" customHeight="1">
      <c r="A5" s="27" t="inlineStr">
        <is>
          <t>Recupera tu contraseña</t>
        </is>
      </c>
      <c r="B5" s="26" t="inlineStr">
        <is>
          <t>Al pedir «He olvidado mi contraseña»</t>
        </is>
      </c>
      <c r="C5" s="26" t="inlineStr">
        <is>
          <t>Recupera tu contraseña en {tienda}</t>
        </is>
      </c>
      <c r="D5" s="26" t="inlineStr">
        <is>
          <t>Hemos recibido una solicitud para restablecer la contraseña de tu cuenta en {tienda}.</t>
        </is>
      </c>
      <c r="E5" s="26" t="inlineStr">
        <is>
          <t>Tono.</t>
        </is>
      </c>
      <c r="F5" s="29" t="n"/>
      <c r="G5" s="26" t="inlineStr">
        <is>
          <t>templates/password-reset.ts</t>
        </is>
      </c>
    </row>
    <row r="6" ht="36" customHeight="1">
      <c r="A6" s="27" t="inlineStr">
        <is>
          <t>Crea tu contraseña</t>
        </is>
      </c>
      <c r="B6" s="26" t="inlineStr">
        <is>
          <t>Cuando un administrador verifica una cuenta y envía el enlace</t>
        </is>
      </c>
      <c r="C6" s="26" t="inlineStr">
        <is>
          <t>Crea tu contraseña en {tienda}</t>
        </is>
      </c>
      <c r="D6" s="26" t="inlineStr">
        <is>
          <t>Tu cuenta en {tienda} ya está activa. Solo falta que elijas tu contraseña para poder iniciar sesión.</t>
        </is>
      </c>
      <c r="E6" s="26" t="inlineStr">
        <is>
          <t>Tono.</t>
        </is>
      </c>
      <c r="F6" s="29" t="n"/>
      <c r="G6" s="26" t="inlineStr">
        <is>
          <t>templates/password-reset.ts</t>
        </is>
      </c>
    </row>
    <row r="7" ht="36" customHeight="1">
      <c r="A7" s="27" t="inlineStr">
        <is>
          <t>Pedido recibido</t>
        </is>
      </c>
      <c r="B7" s="26" t="inlineStr">
        <is>
          <t>Al iniciar el pago</t>
        </is>
      </c>
      <c r="C7" s="26" t="inlineStr">
        <is>
          <t>Hemos recibido tu pedido #CÓDIGO</t>
        </is>
      </c>
      <c r="D7" s="26" t="inlineStr">
        <is>
          <t>Hemos recibido tu pedido… (con el resumen de productos)</t>
        </is>
      </c>
      <c r="E7" s="26" t="inlineStr">
        <is>
          <t>Tono.</t>
        </is>
      </c>
      <c r="F7" s="29" t="n"/>
      <c r="G7" s="26" t="inlineStr">
        <is>
          <t>templates/order-received.ts</t>
        </is>
      </c>
    </row>
    <row r="8" ht="36" customHeight="1">
      <c r="A8" s="27" t="inlineStr">
        <is>
          <t>Pago confirmado</t>
        </is>
      </c>
      <c r="B8" s="26" t="inlineStr">
        <is>
          <t>Cuando Redsys confirma el cobro</t>
        </is>
      </c>
      <c r="C8" s="26" t="inlineStr">
        <is>
          <t>Pago confirmado — pedido #CÓDIGO</t>
        </is>
      </c>
      <c r="D8" s="26" t="inlineStr">
        <is>
          <t>Hemos confirmado el pago de tu pedido… Prepararemos tu pedido para el envío en breve.</t>
        </is>
      </c>
      <c r="E8" s="26" t="inlineStr">
        <is>
          <t>Poner un plazo concreto de preparación/envío en lugar de «en breve».</t>
        </is>
      </c>
      <c r="F8" s="29" t="n"/>
      <c r="G8" s="26" t="inlineStr">
        <is>
          <t>templates/payment-confirmed.ts</t>
        </is>
      </c>
    </row>
    <row r="9" ht="36" customHeight="1">
      <c r="A9" s="27" t="inlineStr">
        <is>
          <t>Pedido cancelado</t>
        </is>
      </c>
      <c r="B9" s="26" t="inlineStr">
        <is>
          <t>Al cancelar un pedido desde el panel</t>
        </is>
      </c>
      <c r="C9" s="26" t="inlineStr">
        <is>
          <t>Pedido cancelado — #CÓDIGO</t>
        </is>
      </c>
      <c r="D9" s="26" t="inlineStr">
        <is>
          <t>Tu pedido … ha sido cancelado. Si crees que se trata de un error, contáctanos.</t>
        </is>
      </c>
      <c r="E9" s="26" t="inlineStr">
        <is>
          <t>Falta cómo contactar: añadir el email o el teléfono de atención al cliente. Indicar el plazo del reembolso.</t>
        </is>
      </c>
      <c r="F9" s="29" t="n"/>
      <c r="G9" s="26" t="inlineStr">
        <is>
          <t>templates/order-cancelled.ts</t>
        </is>
      </c>
    </row>
    <row r="10" ht="36" customHeight="1">
      <c r="A10" s="27" t="inlineStr">
        <is>
          <t>Factura disponible</t>
        </is>
      </c>
      <c r="B10" s="26" t="inlineStr">
        <is>
          <t>Al generarse la factura (pago confirmado)</t>
        </is>
      </c>
      <c r="C10" s="26" t="inlineStr">
        <is>
          <t>Factura A-000001 disponible</t>
        </is>
      </c>
      <c r="D10" s="26" t="inlineStr">
        <is>
          <t>Ya tienes disponible la factura… También puedes descargarla en cualquier momento desde tu cuenta.</t>
        </is>
      </c>
      <c r="E10" s="26" t="inlineStr">
        <is>
          <t>Tono.</t>
        </is>
      </c>
      <c r="F10" s="29" t="n"/>
      <c r="G10" s="26" t="inlineStr">
        <is>
          <t>templates/invoice-available.ts</t>
        </is>
      </c>
    </row>
    <row r="11" ht="36" customHeight="1">
      <c r="A11" s="27" t="inlineStr">
        <is>
          <t>Reenvío de factura</t>
        </is>
      </c>
      <c r="B11" s="26" t="inlineStr">
        <is>
          <t>Cuando un administrador reenvía la factura</t>
        </is>
      </c>
      <c r="C11" s="26" t="inlineStr">
        <is>
          <t>Factura A-000001 — pedido #CÓDIGO</t>
        </is>
      </c>
      <c r="D11" s="26" t="inlineStr">
        <is>
          <t>Te reenviamos la factura … correspondiente al pedido … La encontrarás adjunta a este email en PDF.</t>
        </is>
      </c>
      <c r="E11" s="26" t="inlineStr">
        <is>
          <t>Tono.</t>
        </is>
      </c>
      <c r="F11" s="29" t="n"/>
      <c r="G11" s="26" t="inlineStr">
        <is>
          <t>templates/invoice-resend.ts</t>
        </is>
      </c>
    </row>
    <row r="12" ht="36" customHeight="1">
      <c r="A12" s="27" t="inlineStr">
        <is>
          <t>Factura rectificativa</t>
        </is>
      </c>
      <c r="B12" s="26" t="inlineStr">
        <is>
          <t>Al liquidar un reembolso</t>
        </is>
      </c>
      <c r="C12" s="26" t="inlineStr">
        <is>
          <t>Factura rectificativa R-000001 — pedido #CÓDIGO</t>
        </is>
      </c>
      <c r="D12" s="26" t="inlineStr">
        <is>
          <t>Hemos tramitado un reembolso de tu pedido… Te adjuntamos la factura rectificativa…, que corrige la factura… por el importe reembolsado.</t>
        </is>
      </c>
      <c r="E12" s="26" t="inlineStr">
        <is>
          <t>Tono; plazo en que llega el dinero.</t>
        </is>
      </c>
      <c r="F12" s="29" t="n"/>
      <c r="G12" s="26" t="inlineStr">
        <is>
          <t>templates/credit-note-available.ts</t>
        </is>
      </c>
    </row>
    <row r="13" ht="36" customHeight="1">
      <c r="A13" s="27" t="inlineStr">
        <is>
          <t>Pie común de todos los emails</t>
        </is>
      </c>
      <c r="B13" s="26" t="inlineStr">
        <is>
          <t>En todos</t>
        </is>
      </c>
      <c r="C13" s="26" t="inlineStr">
        <is>
          <t>—</t>
        </is>
      </c>
      <c r="D13" s="26" t="inlineStr">
        <is>
          <t>{tienda} — este es un email transaccional automático, por favor no respondas si no tienes una duda relacionada. · Ir a la tienda · Mi cuenta · © {año} {tienda}</t>
        </is>
      </c>
      <c r="E13" s="26" t="inlineStr">
        <is>
          <t>La frase es confusa (¿se puede responder o no?): decidir según EMAIL_REPLY_TO. Recomendado añadir razón social, dirección y enlace a la política de privacidad.</t>
        </is>
      </c>
      <c r="F13" s="29" t="n"/>
      <c r="G13" s="26" t="inlineStr">
        <is>
          <t>templates/layout.ts</t>
        </is>
      </c>
    </row>
    <row r="14" ht="36" customHeight="1">
      <c r="A14" s="27" t="inlineStr">
        <is>
          <t>Pedido enviado (no existe)</t>
        </is>
      </c>
      <c r="B14" s="26" t="inlineStr">
        <is>
          <t>—</t>
        </is>
      </c>
      <c r="C14" s="26" t="inlineStr">
        <is>
          <t>—</t>
        </is>
      </c>
      <c r="D14" s="26" t="inlineStr">
        <is>
          <t>—</t>
        </is>
      </c>
      <c r="E14" s="26" t="inlineStr">
        <is>
          <t>Decidir si se quiere un email al enviar el pedido, con transportista y número de seguimiento (requiere desarrollo).</t>
        </is>
      </c>
      <c r="F14" s="29" t="n"/>
      <c r="G14" s="26" t="inlineStr">
        <is>
          <t>—</t>
        </is>
      </c>
    </row>
    <row r="16">
      <c r="A16" s="13" t="inlineStr">
        <is>
          <t>{tienda} = nombre comercial (EMAIL_STORE_NAME). #CÓDIGO = código del pedido. Todos los emails llevan el logo, los colores de la marca y enlaces a la tienda y a «Mi cuenta».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6" customWidth="1" min="3" max="3"/>
    <col width="30" customWidth="1" min="4" max="4"/>
    <col width="50" customWidth="1" min="5" max="5"/>
  </cols>
  <sheetData>
    <row r="1">
      <c r="B1" s="33" t="inlineStr">
        <is>
          <t>Dónde alojar la tienda — recomendaciones</t>
        </is>
      </c>
    </row>
    <row r="3">
      <c r="B3" s="3" t="inlineStr">
        <is>
          <t>La aplicación son 4 piezas que corren juntas con Docker en un único servidor (ya preparado, ver docker-compose.prod.yml): base de datos (PostgreSQL), servidor Vendure (API + panel de administración), worker (tareas en segundo plano: emails, facturas...) y la tienda (Next.js) — más un proxy (Caddy) que da el certificado HTTPS gratis y automático. No hace falta contratar la base de datos por separado.</t>
        </is>
      </c>
    </row>
    <row r="5">
      <c r="B5" s="33" t="inlineStr">
        <is>
          <t>Requisitos imprescindibles (no negociables)</t>
        </is>
      </c>
    </row>
    <row r="6">
      <c r="B6" s="3" t="inlineStr">
        <is>
          <t>• Soporte para Docker y Docker Compose</t>
        </is>
      </c>
    </row>
    <row r="7">
      <c r="B7" s="3" t="inlineStr">
        <is>
          <t>• IP pública fija, con capacidad de abrir los puertos 80 y 443</t>
        </is>
      </c>
    </row>
    <row r="8">
      <c r="B8" s="3" t="inlineStr">
        <is>
          <t>• Almacenamiento persistente (volúmenes en disco) — las fotos de producto y las facturas en PDF se guardan en disco; se perderían en un hosting "sin estado" tipo serverless puro</t>
        </is>
      </c>
    </row>
    <row r="9">
      <c r="B9" s="3" t="inlineStr">
        <is>
          <t>• Acceso administrador/SSH al servidor</t>
        </is>
      </c>
    </row>
    <row r="11">
      <c r="B11" s="33" t="inlineStr">
        <is>
          <t>Specs mínimas recomendadas para el servidor</t>
        </is>
      </c>
    </row>
    <row r="12">
      <c r="A12" s="3" t="inlineStr"/>
      <c r="B12" s="33" t="inlineStr">
        <is>
          <t>Recurso</t>
        </is>
      </c>
      <c r="C12" s="33" t="inlineStr">
        <is>
          <t>Mínimo</t>
        </is>
      </c>
      <c r="D12" s="33" t="inlineStr">
        <is>
          <t>Recomendado (con margen)</t>
        </is>
      </c>
      <c r="E12" s="33" t="inlineStr">
        <is>
          <t>Notas</t>
        </is>
      </c>
    </row>
    <row r="13">
      <c r="A13" s="3" t="inlineStr"/>
      <c r="B13" s="3" t="inlineStr">
        <is>
          <t>CPU</t>
        </is>
      </c>
      <c r="C13" s="3" t="inlineStr">
        <is>
          <t>2 vCPU</t>
        </is>
      </c>
      <c r="D13" s="3" t="inlineStr">
        <is>
          <t>4 vCPU</t>
        </is>
      </c>
      <c r="E13" s="3" t="inlineStr"/>
    </row>
    <row r="14">
      <c r="A14" s="3" t="inlineStr"/>
      <c r="B14" s="3" t="inlineStr">
        <is>
          <t>RAM</t>
        </is>
      </c>
      <c r="C14" s="3" t="inlineStr">
        <is>
          <t>4 GB</t>
        </is>
      </c>
      <c r="D14" s="3" t="inlineStr">
        <is>
          <t>8 GB</t>
        </is>
      </c>
      <c r="E14" s="3" t="inlineStr"/>
    </row>
    <row r="15">
      <c r="A15" s="3" t="inlineStr"/>
      <c r="B15" s="3" t="inlineStr">
        <is>
          <t>Disco</t>
        </is>
      </c>
      <c r="C15" s="3" t="inlineStr">
        <is>
          <t>40 GB SSD</t>
        </is>
      </c>
      <c r="D15" s="3" t="inlineStr">
        <is>
          <t>80 GB SSD</t>
        </is>
      </c>
      <c r="E15" s="3" t="inlineStr">
        <is>
          <t>Crece con catálogo, facturas y backups</t>
        </is>
      </c>
    </row>
    <row r="16">
      <c r="A16" s="3" t="inlineStr"/>
      <c r="B16" s="3" t="inlineStr">
        <is>
          <t>Sistema operativo</t>
        </is>
      </c>
      <c r="C16" s="3" t="inlineStr">
        <is>
          <t>Linux (Ubuntu 22.04/24.04 LTS) + Docker</t>
        </is>
      </c>
      <c r="D16" s="3" t="inlineStr">
        <is>
          <t>Igual</t>
        </is>
      </c>
      <c r="E16" s="3" t="inlineStr"/>
    </row>
    <row r="17">
      <c r="A17" s="3" t="inlineStr"/>
      <c r="B17" s="3" t="inlineStr">
        <is>
          <t>Red</t>
        </is>
      </c>
      <c r="C17" s="3" t="inlineStr">
        <is>
          <t>IP pública fija, puertos 80/443 abiertos</t>
        </is>
      </c>
      <c r="D17" s="3" t="inlineStr">
        <is>
          <t>Igual</t>
        </is>
      </c>
      <c r="E17" s="3" t="inlineStr"/>
    </row>
    <row r="18">
      <c r="A18" s="3" t="inlineStr"/>
      <c r="B18" s="3" t="inlineStr">
        <is>
          <t>Ancho de banda</t>
        </is>
      </c>
      <c r="C18" s="3" t="inlineStr">
        <is>
          <t>Según tráfico esperado</t>
        </is>
      </c>
      <c r="D18" s="3" t="inlineStr">
        <is>
          <t>La mayoría de VPS incluyen varios TB/mes</t>
        </is>
      </c>
      <c r="E18" s="3" t="inlineStr"/>
    </row>
    <row r="19">
      <c r="A19" s="3" t="inlineStr"/>
      <c r="B19" s="3" t="inlineStr">
        <is>
          <t>Snapshot del proveedor</t>
        </is>
      </c>
      <c r="C19" s="3" t="inlineStr">
        <is>
          <t>Opcional</t>
        </is>
      </c>
      <c r="D19" s="3" t="inlineStr">
        <is>
          <t>Recomendable, además del backup propio de la app</t>
        </is>
      </c>
      <c r="E19" s="3" t="inlineStr"/>
    </row>
    <row r="21">
      <c r="B21" s="33" t="inlineStr">
        <is>
          <t>Proveedores de servidor orientativos (ejemplos, sin compromiso)</t>
        </is>
      </c>
    </row>
    <row r="22">
      <c r="A22" s="3" t="inlineStr"/>
      <c r="B22" s="33" t="inlineStr">
        <is>
          <t>Proveedor</t>
        </is>
      </c>
      <c r="C22" s="33" t="inlineStr">
        <is>
          <t>Tipo</t>
        </is>
      </c>
      <c r="D22" s="33" t="inlineStr">
        <is>
          <t>Precio orientativo/mes</t>
        </is>
      </c>
      <c r="E22" s="33" t="inlineStr">
        <is>
          <t>Notas</t>
        </is>
      </c>
    </row>
    <row r="23">
      <c r="A23" s="3" t="inlineStr"/>
      <c r="B23" s="3" t="inlineStr">
        <is>
          <t>Hetzner Cloud</t>
        </is>
      </c>
      <c r="C23" s="3" t="inlineStr">
        <is>
          <t>VPS Europa</t>
        </is>
      </c>
      <c r="D23" s="3" t="inlineStr">
        <is>
          <t>15-25 €</t>
        </is>
      </c>
      <c r="E23" s="3" t="inlineStr">
        <is>
          <t>Buena relación calidad-precio, datacenters en Alemania/Finlandia</t>
        </is>
      </c>
    </row>
    <row r="24">
      <c r="A24" s="3" t="inlineStr"/>
      <c r="B24" s="3" t="inlineStr">
        <is>
          <t>DigitalOcean</t>
        </is>
      </c>
      <c r="C24" s="3" t="inlineStr">
        <is>
          <t>VPS</t>
        </is>
      </c>
      <c r="D24" s="3" t="inlineStr">
        <is>
          <t>24-48 $</t>
        </is>
      </c>
      <c r="E24" s="3" t="inlineStr">
        <is>
          <t>Interfaz sencilla, buena documentación</t>
        </is>
      </c>
    </row>
    <row r="25">
      <c r="A25" s="3" t="inlineStr"/>
      <c r="B25" s="3" t="inlineStr">
        <is>
          <t>OVHcloud</t>
        </is>
      </c>
      <c r="C25" s="3" t="inlineStr">
        <is>
          <t>VPS Europa (España/Francia)</t>
        </is>
      </c>
      <c r="D25" s="3" t="inlineStr">
        <is>
          <t>15-30 €</t>
        </is>
      </c>
      <c r="E25" s="3" t="inlineStr">
        <is>
          <t>Proveedor europeo, facturación en español</t>
        </is>
      </c>
    </row>
    <row r="26">
      <c r="A26" s="3" t="inlineStr"/>
      <c r="B26" s="3" t="inlineStr">
        <is>
          <t>Contabo</t>
        </is>
      </c>
      <c r="C26" s="3" t="inlineStr">
        <is>
          <t>VPS</t>
        </is>
      </c>
      <c r="D26" s="3" t="inlineStr">
        <is>
          <t>10-20 €</t>
        </is>
      </c>
      <c r="E26" s="3" t="inlineStr">
        <is>
          <t>Más barato, algo menos de soporte</t>
        </is>
      </c>
    </row>
    <row r="27">
      <c r="A27" s="3" t="inlineStr"/>
      <c r="B27" s="3" t="inlineStr">
        <is>
          <t>AWS Lightsail / Google Cloud</t>
        </is>
      </c>
      <c r="C27" s="3" t="inlineStr">
        <is>
          <t>VPS gestionado</t>
        </is>
      </c>
      <c r="D27" s="3" t="inlineStr">
        <is>
          <t>Desde ~20 $</t>
        </is>
      </c>
      <c r="E27" s="3" t="inlineStr">
        <is>
          <t>Más flexible para escalar más adelante, curva de aprendizaje mayor</t>
        </is>
      </c>
    </row>
    <row r="29">
      <c r="B29" s="33" t="inlineStr">
        <is>
          <t>Almacenamiento externo para backups (recomendado, opcional)</t>
        </is>
      </c>
    </row>
    <row r="30">
      <c r="A30" s="3" t="inlineStr"/>
      <c r="B30" s="33" t="inlineStr">
        <is>
          <t>Proveedor</t>
        </is>
      </c>
      <c r="C30" s="33" t="inlineStr">
        <is>
          <t>Precio orientativo</t>
        </is>
      </c>
      <c r="D30" s="33" t="inlineStr">
        <is>
          <t>Notas</t>
        </is>
      </c>
      <c r="E30" s="33" t="inlineStr"/>
    </row>
    <row r="31">
      <c r="A31" s="3" t="inlineStr"/>
      <c r="B31" s="3" t="inlineStr">
        <is>
          <t>Backblaze B2</t>
        </is>
      </c>
      <c r="C31" s="3" t="inlineStr">
        <is>
          <t>~5 $/TB/mes</t>
        </is>
      </c>
      <c r="D31" s="3" t="inlineStr">
        <is>
          <t>Barato, compatible con S3</t>
        </is>
      </c>
      <c r="E31" s="3" t="inlineStr"/>
    </row>
    <row r="32">
      <c r="A32" s="3" t="inlineStr"/>
      <c r="B32" s="3" t="inlineStr">
        <is>
          <t>Amazon S3</t>
        </is>
      </c>
      <c r="C32" s="3" t="inlineStr">
        <is>
          <t>Variable</t>
        </is>
      </c>
      <c r="D32" s="3" t="inlineStr">
        <is>
          <t>Estándar de la industria</t>
        </is>
      </c>
      <c r="E32" s="3" t="inlineStr"/>
    </row>
    <row r="33">
      <c r="A33" s="3" t="inlineStr"/>
      <c r="B33" s="3" t="inlineStr">
        <is>
          <t>Wasabi</t>
        </is>
      </c>
      <c r="C33" s="3" t="inlineStr">
        <is>
          <t>~7 $/TB/mes</t>
        </is>
      </c>
      <c r="D33" s="3" t="inlineStr">
        <is>
          <t>Sin coste de salida de datos</t>
        </is>
      </c>
      <c r="E33" s="3" t="inlineStr"/>
    </row>
    <row r="35">
      <c r="B35" s="3" t="inlineStr">
        <is>
          <t>Nota: si en el futuro crece mucho el volumen de pedidos, la base de datos se puede separar a un servicio gestionado (ej. Amazon RDS, DigitalOcean Managed Postgres) sin cambios grandes en el código — no hace falta decidirlo ahora.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2026-09-29T11:36:05Z</dcterms:created>
  <dcterms:modified xsi:type="dcterms:W3CDTF">2026-09-29T11:36:05Z</dcterms:modified>
</cp:coreProperties>
</file>